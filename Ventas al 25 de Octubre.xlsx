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CFA38CC-4E11-416A-8957-9E718B82E83D}" xr6:coauthVersionLast="47" xr6:coauthVersionMax="47" xr10:uidLastSave="{00000000-0000-0000-0000-000000000000}"/>
  <bookViews>
    <workbookView xWindow="-108" yWindow="-108" windowWidth="23256" windowHeight="12456" xr2:uid="{A1C689B6-7512-4D4A-AD6D-1FC5E2356398}"/>
  </bookViews>
  <sheets>
    <sheet name="OCTUBRE 2026" sheetId="1" r:id="rId1"/>
    <sheet name="OCTUBRE 2025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<sst xmlns="http://schemas.openxmlformats.org/spreadsheetml/2006/main" count="305" uniqueCount="164">
  <si>
    <t>P1</t>
  </si>
  <si>
    <t>T1</t>
  </si>
  <si>
    <t>C2</t>
  </si>
  <si>
    <t>100</t>
  </si>
  <si>
    <t>101</t>
  </si>
  <si>
    <t>102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</si>
  <si>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</si>
  <si>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</si>
  <si>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</si>
  <si>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</si>
  <si>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</si>
  <si>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</si>
  <si>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</si>
  <si>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</si>
  <si>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</si>
  <si>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</si>
  <si>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</si>
  <si>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</si>
  <si>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118</t>
  </si>
  <si>
    <t>120</t>
  </si>
  <si>
    <t>116</t>
  </si>
  <si>
    <t>117</t>
  </si>
  <si>
    <t>119</t>
  </si>
  <si>
    <t>121</t>
  </si>
  <si>
    <t>122</t>
  </si>
  <si>
    <t>123</t>
  </si>
  <si>
    <t>125</t>
  </si>
  <si>
    <t>200</t>
  </si>
  <si>
    <t>201</t>
  </si>
  <si>
    <t>203</t>
  </si>
  <si>
    <t>204</t>
  </si>
  <si>
    <t>205</t>
  </si>
  <si>
    <t>210</t>
  </si>
  <si>
    <t>211</t>
  </si>
  <si>
    <t>001</t>
  </si>
  <si>
    <t>Día</t>
  </si>
  <si>
    <t>Dia del mes</t>
  </si>
  <si>
    <t>PARMESSANO CIUDAD DEL RIO</t>
  </si>
  <si>
    <t>PARMESSANO MOLINOS</t>
  </si>
  <si>
    <t>PARMESSANO TESORO</t>
  </si>
  <si>
    <t>PARMESSANO SANTAFE</t>
  </si>
  <si>
    <t>PARMESSANO INDIANA</t>
  </si>
  <si>
    <t>PARMESSANO LA STRADA</t>
  </si>
  <si>
    <t>PARMESSANO MAYORCA</t>
  </si>
  <si>
    <t>PARMESSANO MERCADO DEL RIO</t>
  </si>
  <si>
    <t>PARMESSANO UNICENTRO MEDELLIN</t>
  </si>
  <si>
    <t>PARMESSANO CITY PLAZA</t>
  </si>
  <si>
    <t>PARMESSANO VIVA ENVIGADO</t>
  </si>
  <si>
    <t>PARMESSANO LAURELES</t>
  </si>
  <si>
    <t>PARMESSANO OVIEDO</t>
  </si>
  <si>
    <t>PARMESSANO FABRICATO</t>
  </si>
  <si>
    <t>PARMESSANO JARDINES</t>
  </si>
  <si>
    <t>PARMESSANO FLORIDA</t>
  </si>
  <si>
    <t>PARMESSANO SAN NICOLAS</t>
  </si>
  <si>
    <t>PARMESSANO</t>
  </si>
  <si>
    <t>PARMESSANO ATLANTIS</t>
  </si>
  <si>
    <t>PARMESSANO SANTAFE BOGOTA</t>
  </si>
  <si>
    <t>PARMESSANO GRAN ESTACION</t>
  </si>
  <si>
    <t>PARMESSANO NUESTRO BOGOTA</t>
  </si>
  <si>
    <t>PARMESSANO TORRES DE ATRIO</t>
  </si>
  <si>
    <t>PARMESSANO UNICENTRO BOGOTA</t>
  </si>
  <si>
    <t>PARMESSANO PARQUE LA 93</t>
  </si>
  <si>
    <t>PARMESSANO BOGOTA</t>
  </si>
  <si>
    <t>TOTAL PARMESSANO</t>
  </si>
  <si>
    <t>TODO FRESA TESORO 1</t>
  </si>
  <si>
    <t>TODO FRESA TESORO 2</t>
  </si>
  <si>
    <t>TODO FRESA OVIEDO</t>
  </si>
  <si>
    <t>TODO FRESA SANTA FE 1</t>
  </si>
  <si>
    <t>TODO FRESA FLORIDA</t>
  </si>
  <si>
    <t>TODO FRESA VIVA ENVIGADO</t>
  </si>
  <si>
    <t>TODO FRESA SAN DIEGO</t>
  </si>
  <si>
    <t>TODO FRESA</t>
  </si>
  <si>
    <t>CORPORATIVOS</t>
  </si>
  <si>
    <t>TOTAL INGRESOS 2026</t>
  </si>
  <si>
    <t>TOTAL INGRESOS 2025</t>
  </si>
  <si>
    <t>% VARIACION</t>
  </si>
  <si>
    <t>20261001</t>
  </si>
  <si>
    <t>20261002</t>
  </si>
  <si>
    <t>20261003</t>
  </si>
  <si>
    <t>20261004</t>
  </si>
  <si>
    <t>40 Semana del año</t>
  </si>
  <si>
    <t>20261005</t>
  </si>
  <si>
    <t>20261006</t>
  </si>
  <si>
    <t>20261007</t>
  </si>
  <si>
    <t>20261008</t>
  </si>
  <si>
    <t>20261009</t>
  </si>
  <si>
    <t>20261010</t>
  </si>
  <si>
    <t>20261011</t>
  </si>
  <si>
    <t>41 Semana del año</t>
  </si>
  <si>
    <t>20261012</t>
  </si>
  <si>
    <t>20261013</t>
  </si>
  <si>
    <t>20261014</t>
  </si>
  <si>
    <t>20261015</t>
  </si>
  <si>
    <t>20261016</t>
  </si>
  <si>
    <t>20261017</t>
  </si>
  <si>
    <t>20261018</t>
  </si>
  <si>
    <t>42 Semana del año</t>
  </si>
  <si>
    <t>20261019</t>
  </si>
  <si>
    <t>20261020</t>
  </si>
  <si>
    <t>20261021</t>
  </si>
  <si>
    <t>20261022</t>
  </si>
  <si>
    <t>20261023</t>
  </si>
  <si>
    <t>20261024</t>
  </si>
  <si>
    <t>20261025</t>
  </si>
  <si>
    <t>43 Semana del año</t>
  </si>
  <si>
    <t>20261026</t>
  </si>
  <si>
    <t>20261027</t>
  </si>
  <si>
    <t>20261028</t>
  </si>
  <si>
    <t>20261029</t>
  </si>
  <si>
    <t>20261030</t>
  </si>
  <si>
    <t>20261031</t>
  </si>
  <si>
    <t>44 Semana del año</t>
  </si>
  <si>
    <t>TOTAL INGRESOS</t>
  </si>
  <si>
    <t>PRESUPUESTO MES</t>
  </si>
  <si>
    <t>VARIACIÓN $</t>
  </si>
  <si>
    <t>Variación %</t>
  </si>
  <si>
    <t>Proyección cumplimiento</t>
  </si>
  <si>
    <t>% proyección cumplimiento</t>
  </si>
  <si>
    <t>Ventas año 2025</t>
  </si>
  <si>
    <t>CRECIMIENTO Vs 2025 %</t>
  </si>
  <si>
    <t>AREA (m2)</t>
  </si>
  <si>
    <t>Ingreso/Area</t>
  </si>
  <si>
    <t># PUESTOS</t>
  </si>
  <si>
    <t>ingreso/# Puestos</t>
  </si>
  <si>
    <t># COLABORADORES</t>
  </si>
  <si>
    <t>ingreso/# Colaboradores</t>
  </si>
  <si>
    <t>% PARTICIPACION VTA TOTAL</t>
  </si>
  <si>
    <t>FACTURAS NCA</t>
  </si>
  <si>
    <t>PARMESSANO UNICENTRO</t>
  </si>
  <si>
    <t>PARMESSANO MEDELLIN</t>
  </si>
  <si>
    <t>TOTAL INGRESOS 2024</t>
  </si>
  <si>
    <t>20251001</t>
  </si>
  <si>
    <t>20251002</t>
  </si>
  <si>
    <t>20251003</t>
  </si>
  <si>
    <t>20251004</t>
  </si>
  <si>
    <t>20251005</t>
  </si>
  <si>
    <t>20251006</t>
  </si>
  <si>
    <t>20251007</t>
  </si>
  <si>
    <t>20251008</t>
  </si>
  <si>
    <t>20251009</t>
  </si>
  <si>
    <t>20251010</t>
  </si>
  <si>
    <t>20251011</t>
  </si>
  <si>
    <t>20251012</t>
  </si>
  <si>
    <t>20251013</t>
  </si>
  <si>
    <t>20251014</t>
  </si>
  <si>
    <t>20251015</t>
  </si>
  <si>
    <t>20251016</t>
  </si>
  <si>
    <t>20251017</t>
  </si>
  <si>
    <t>20251018</t>
  </si>
  <si>
    <t>20251019</t>
  </si>
  <si>
    <t>20251020</t>
  </si>
  <si>
    <t>20251021</t>
  </si>
  <si>
    <t>20251022</t>
  </si>
  <si>
    <t>20251023</t>
  </si>
  <si>
    <t>20251024</t>
  </si>
  <si>
    <t>20251025</t>
  </si>
  <si>
    <t>20251026</t>
  </si>
  <si>
    <t>20251027</t>
  </si>
  <si>
    <t>20251028</t>
  </si>
  <si>
    <t>20251029</t>
  </si>
  <si>
    <t>20251030</t>
  </si>
  <si>
    <t>20251031</t>
  </si>
  <si>
    <t>Ventas año 2024</t>
  </si>
  <si>
    <t>CRECIMIENTO Vs 2024 %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</si>
</sst>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\ #,##0;[Red]\-&quot;$&quot;\ #,##0"/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#,##0;[Red]\-#,##0;&quot;-&quot;"/>
    <numFmt numFmtId="165" formatCode="dddd"/>
    <numFmt numFmtId="166" formatCode="_-&quot;$&quot;* #,##0.00_-;\-&quot;$&quot;* #,##0.00_-;_-&quot;$&quot;* &quot;-&quot;??_-;_-@_-"/>
    <numFmt numFmtId="167" formatCode="&quot;$&quot;\ #,##0_);\(&quot;$&quot;\ #,##0\)"/>
    <numFmt numFmtId="168" formatCode="_(&quot;$&quot;\ * #,##0.00_);_(&quot;$&quot;\ * \(#,##0.00\);_(&quot;$&quot;\ * &quot;-&quot;??_);_(@_)"/>
    <numFmt numFmtId="169" formatCode="_-* #,##0_-;\-* #,##0_-;_-* &quot;-&quot;??_-;_-@_-"/>
    <numFmt numFmtId="170" formatCode="_(* #,##0_);_(* \(#,##0\);_(* &quot;-&quot;??_);_(@_)"/>
    <numFmt numFmtId="171" formatCode="_-&quot;$&quot;\ * #,##0_-;\-&quot;$&quot;\ * #,##0_-;_-&quot;$&quot;\ * &quot;-&quot;??_-;_-@_-"/>
    <numFmt numFmtId="172" formatCode="_(&quot;$&quot;* #,##0_);_(&quot;$&quot;* \(#,##0\);_(&quot;$&quot;* &quot;-&quot;_);_(@_)"/>
    <numFmt numFmtId="173" formatCode="&quot;$&quot;#,##0_);[Red]\(&quot;$&quot;#,##0\)"/>
    <numFmt numFmtId="17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2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color indexed="8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20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quotePrefix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64" fontId="0" fillId="0" borderId="0" xfId="0" quotePrefix="1" applyNumberFormat="1"/>
    <xf numFmtId="165" fontId="0" fillId="0" borderId="0" xfId="0" quotePrefix="1" applyNumberFormat="1" applyAlignment="1">
      <alignment horizontal="left"/>
    </xf>
    <xf numFmtId="164" fontId="0" fillId="0" borderId="0" xfId="0" applyNumberFormat="1"/>
    <xf numFmtId="164" fontId="2" fillId="2" borderId="0" xfId="0" applyNumberFormat="1" applyFont="1" applyFill="1"/>
    <xf numFmtId="164" fontId="2" fillId="3" borderId="0" xfId="0" applyNumberFormat="1" applyFont="1" applyFill="1"/>
    <xf numFmtId="10" fontId="0" fillId="2" borderId="0" xfId="4" applyNumberFormat="1" applyFont="1" applyFill="1"/>
    <xf numFmtId="0" fontId="2" fillId="0" borderId="0" xfId="0" applyFont="1"/>
    <xf numFmtId="42" fontId="2" fillId="0" borderId="0" xfId="3" applyFont="1" applyAlignment="1">
      <alignment horizontal="left"/>
    </xf>
    <xf numFmtId="42" fontId="2" fillId="0" borderId="0" xfId="3" quotePrefix="1" applyFont="1" applyAlignment="1">
      <alignment horizontal="left"/>
    </xf>
    <xf numFmtId="42" fontId="2" fillId="0" borderId="0" xfId="3" applyFont="1"/>
    <xf numFmtId="42" fontId="2" fillId="2" borderId="0" xfId="3" applyFont="1" applyFill="1"/>
    <xf numFmtId="42" fontId="2" fillId="3" borderId="0" xfId="3" applyFont="1" applyFill="1"/>
    <xf numFmtId="42" fontId="2" fillId="2" borderId="0" xfId="5" quotePrefix="1" applyFont="1" applyFill="1"/>
    <xf numFmtId="164" fontId="2" fillId="0" borderId="0" xfId="0" applyNumberFormat="1" applyFont="1"/>
    <xf numFmtId="0" fontId="2" fillId="0" borderId="1" xfId="0" quotePrefix="1" applyFont="1" applyBorder="1"/>
    <xf numFmtId="164" fontId="2" fillId="0" borderId="1" xfId="0" applyNumberFormat="1" applyFont="1" applyBorder="1"/>
    <xf numFmtId="164" fontId="2" fillId="2" borderId="1" xfId="0" applyNumberFormat="1" applyFont="1" applyFill="1" applyBorder="1"/>
    <xf numFmtId="42" fontId="2" fillId="3" borderId="1" xfId="3" applyFont="1" applyFill="1" applyBorder="1"/>
    <xf numFmtId="42" fontId="2" fillId="2" borderId="1" xfId="3" applyFont="1" applyFill="1" applyBorder="1"/>
    <xf numFmtId="10" fontId="3" fillId="2" borderId="1" xfId="0" applyNumberFormat="1" applyFont="1" applyFill="1" applyBorder="1" applyAlignment="1">
      <alignment horizontal="center"/>
    </xf>
    <xf numFmtId="0" fontId="2" fillId="0" borderId="0" xfId="0" quotePrefix="1" applyFont="1"/>
    <xf numFmtId="164" fontId="2" fillId="0" borderId="2" xfId="0" applyNumberFormat="1" applyFont="1" applyBorder="1"/>
    <xf numFmtId="164" fontId="2" fillId="2" borderId="2" xfId="0" applyNumberFormat="1" applyFont="1" applyFill="1" applyBorder="1"/>
    <xf numFmtId="42" fontId="2" fillId="3" borderId="2" xfId="3" applyFont="1" applyFill="1" applyBorder="1"/>
    <xf numFmtId="42" fontId="2" fillId="2" borderId="2" xfId="3" applyFont="1" applyFill="1" applyBorder="1"/>
    <xf numFmtId="42" fontId="0" fillId="0" borderId="0" xfId="0" applyNumberFormat="1"/>
    <xf numFmtId="6" fontId="2" fillId="0" borderId="0" xfId="0" applyNumberFormat="1" applyFont="1"/>
    <xf numFmtId="6" fontId="2" fillId="2" borderId="0" xfId="0" applyNumberFormat="1" applyFont="1" applyFill="1"/>
    <xf numFmtId="6" fontId="2" fillId="3" borderId="0" xfId="0" applyNumberFormat="1" applyFont="1" applyFill="1"/>
    <xf numFmtId="6" fontId="2" fillId="2" borderId="0" xfId="4" applyNumberFormat="1" applyFont="1" applyFill="1"/>
    <xf numFmtId="0" fontId="3" fillId="0" borderId="0" xfId="0" quotePrefix="1" applyFont="1"/>
    <xf numFmtId="10" fontId="3" fillId="0" borderId="0" xfId="0" applyNumberFormat="1" applyFont="1" applyAlignment="1">
      <alignment horizontal="center"/>
    </xf>
    <xf numFmtId="10" fontId="3" fillId="2" borderId="0" xfId="0" applyNumberFormat="1" applyFont="1" applyFill="1" applyAlignment="1">
      <alignment horizontal="center"/>
    </xf>
    <xf numFmtId="10" fontId="3" fillId="3" borderId="0" xfId="0" applyNumberFormat="1" applyFont="1" applyFill="1" applyAlignment="1">
      <alignment horizontal="center"/>
    </xf>
    <xf numFmtId="42" fontId="2" fillId="0" borderId="0" xfId="6" applyFont="1"/>
    <xf numFmtId="42" fontId="0" fillId="0" borderId="0" xfId="3" quotePrefix="1" applyFont="1"/>
    <xf numFmtId="42" fontId="2" fillId="0" borderId="2" xfId="3" applyFont="1" applyBorder="1"/>
    <xf numFmtId="42" fontId="2" fillId="2" borderId="2" xfId="7" applyFont="1" applyFill="1" applyBorder="1"/>
    <xf numFmtId="42" fontId="2" fillId="3" borderId="2" xfId="7" applyFont="1" applyFill="1" applyBorder="1"/>
    <xf numFmtId="10" fontId="2" fillId="2" borderId="2" xfId="4" applyNumberFormat="1" applyFont="1" applyFill="1" applyBorder="1"/>
    <xf numFmtId="42" fontId="0" fillId="0" borderId="0" xfId="3" applyFont="1"/>
    <xf numFmtId="10" fontId="3" fillId="3" borderId="0" xfId="4" applyNumberFormat="1" applyFont="1" applyFill="1" applyAlignment="1">
      <alignment horizontal="center"/>
    </xf>
    <xf numFmtId="10" fontId="0" fillId="0" borderId="0" xfId="0" applyNumberFormat="1"/>
    <xf numFmtId="167" fontId="5" fillId="0" borderId="1" xfId="8" applyNumberFormat="1" applyFont="1" applyFill="1" applyBorder="1" applyAlignment="1">
      <alignment horizontal="right"/>
    </xf>
    <xf numFmtId="3" fontId="6" fillId="2" borderId="1" xfId="9" applyNumberFormat="1" applyFont="1" applyFill="1" applyBorder="1" applyAlignment="1">
      <alignment horizontal="center"/>
    </xf>
    <xf numFmtId="3" fontId="7" fillId="2" borderId="1" xfId="8" applyNumberFormat="1" applyFont="1" applyFill="1" applyBorder="1" applyAlignment="1">
      <alignment horizontal="right"/>
    </xf>
    <xf numFmtId="3" fontId="8" fillId="3" borderId="1" xfId="0" applyNumberFormat="1" applyFont="1" applyFill="1" applyBorder="1"/>
    <xf numFmtId="3" fontId="8" fillId="2" borderId="1" xfId="0" applyNumberFormat="1" applyFont="1" applyFill="1" applyBorder="1"/>
    <xf numFmtId="3" fontId="0" fillId="0" borderId="0" xfId="0" applyNumberFormat="1"/>
    <xf numFmtId="42" fontId="2" fillId="0" borderId="0" xfId="6" applyFont="1" applyBorder="1"/>
    <xf numFmtId="0" fontId="8" fillId="0" borderId="0" xfId="0" applyFont="1" applyAlignment="1">
      <alignment horizontal="left"/>
    </xf>
    <xf numFmtId="169" fontId="2" fillId="0" borderId="0" xfId="10" applyNumberFormat="1" applyFont="1" applyBorder="1"/>
    <xf numFmtId="169" fontId="2" fillId="0" borderId="0" xfId="1" applyNumberFormat="1" applyFont="1" applyBorder="1"/>
    <xf numFmtId="169" fontId="2" fillId="2" borderId="0" xfId="1" applyNumberFormat="1" applyFont="1" applyFill="1" applyBorder="1"/>
    <xf numFmtId="169" fontId="2" fillId="3" borderId="0" xfId="1" applyNumberFormat="1" applyFont="1" applyFill="1" applyBorder="1"/>
    <xf numFmtId="42" fontId="2" fillId="2" borderId="0" xfId="3" applyFont="1" applyFill="1" applyBorder="1"/>
    <xf numFmtId="42" fontId="0" fillId="0" borderId="0" xfId="3" quotePrefix="1" applyFont="1" applyBorder="1"/>
    <xf numFmtId="10" fontId="3" fillId="2" borderId="2" xfId="0" applyNumberFormat="1" applyFont="1" applyFill="1" applyBorder="1" applyAlignment="1">
      <alignment horizontal="center"/>
    </xf>
    <xf numFmtId="42" fontId="0" fillId="0" borderId="0" xfId="3" applyFont="1" applyBorder="1"/>
    <xf numFmtId="170" fontId="2" fillId="0" borderId="0" xfId="1" applyNumberFormat="1" applyFont="1" applyBorder="1"/>
    <xf numFmtId="10" fontId="3" fillId="0" borderId="3" xfId="0" applyNumberFormat="1" applyFont="1" applyBorder="1" applyAlignment="1">
      <alignment horizontal="center"/>
    </xf>
    <xf numFmtId="10" fontId="3" fillId="2" borderId="3" xfId="0" applyNumberFormat="1" applyFont="1" applyFill="1" applyBorder="1" applyAlignment="1">
      <alignment horizontal="center"/>
    </xf>
    <xf numFmtId="10" fontId="3" fillId="2" borderId="3" xfId="4" applyNumberFormat="1" applyFont="1" applyFill="1" applyBorder="1" applyAlignment="1">
      <alignment horizontal="center"/>
    </xf>
    <xf numFmtId="10" fontId="3" fillId="3" borderId="3" xfId="4" applyNumberFormat="1" applyFont="1" applyFill="1" applyBorder="1" applyAlignment="1">
      <alignment horizontal="center"/>
    </xf>
    <xf numFmtId="170" fontId="0" fillId="0" borderId="0" xfId="1" applyNumberFormat="1" applyFont="1"/>
    <xf numFmtId="6" fontId="0" fillId="0" borderId="0" xfId="0" applyNumberFormat="1"/>
    <xf numFmtId="170" fontId="0" fillId="0" borderId="0" xfId="0" applyNumberFormat="1"/>
    <xf numFmtId="171" fontId="2" fillId="0" borderId="0" xfId="11" applyNumberFormat="1" applyFont="1"/>
    <xf numFmtId="38" fontId="0" fillId="0" borderId="0" xfId="0" applyNumberFormat="1"/>
    <xf numFmtId="171" fontId="0" fillId="0" borderId="0" xfId="2" applyNumberFormat="1" applyFont="1"/>
    <xf numFmtId="172" fontId="2" fillId="0" borderId="0" xfId="12" applyFont="1" applyAlignment="1">
      <alignment horizontal="left"/>
    </xf>
    <xf numFmtId="172" fontId="2" fillId="0" borderId="0" xfId="12" quotePrefix="1" applyFont="1" applyAlignment="1">
      <alignment horizontal="left"/>
    </xf>
    <xf numFmtId="172" fontId="2" fillId="0" borderId="0" xfId="12" applyFont="1"/>
    <xf numFmtId="172" fontId="2" fillId="2" borderId="0" xfId="12" applyFont="1" applyFill="1"/>
    <xf numFmtId="172" fontId="2" fillId="3" borderId="0" xfId="12" applyFont="1" applyFill="1"/>
    <xf numFmtId="172" fontId="2" fillId="2" borderId="0" xfId="13" quotePrefix="1" applyFont="1" applyFill="1"/>
    <xf numFmtId="10" fontId="2" fillId="0" borderId="0" xfId="4" applyNumberFormat="1" applyFont="1"/>
    <xf numFmtId="172" fontId="2" fillId="3" borderId="1" xfId="12" applyFont="1" applyFill="1" applyBorder="1"/>
    <xf numFmtId="172" fontId="2" fillId="2" borderId="1" xfId="12" applyFont="1" applyFill="1" applyBorder="1"/>
    <xf numFmtId="172" fontId="2" fillId="3" borderId="2" xfId="12" applyFont="1" applyFill="1" applyBorder="1"/>
    <xf numFmtId="172" fontId="2" fillId="2" borderId="2" xfId="12" applyFont="1" applyFill="1" applyBorder="1"/>
    <xf numFmtId="173" fontId="2" fillId="0" borderId="0" xfId="0" applyNumberFormat="1" applyFont="1"/>
    <xf numFmtId="173" fontId="2" fillId="2" borderId="0" xfId="0" applyNumberFormat="1" applyFont="1" applyFill="1"/>
    <xf numFmtId="173" fontId="2" fillId="3" borderId="0" xfId="0" applyNumberFormat="1" applyFont="1" applyFill="1"/>
    <xf numFmtId="173" fontId="2" fillId="2" borderId="0" xfId="4" applyNumberFormat="1" applyFont="1" applyFill="1"/>
    <xf numFmtId="172" fontId="2" fillId="0" borderId="0" xfId="14" applyFont="1"/>
    <xf numFmtId="172" fontId="0" fillId="0" borderId="0" xfId="12" quotePrefix="1" applyFont="1"/>
    <xf numFmtId="172" fontId="2" fillId="0" borderId="2" xfId="12" applyFont="1" applyBorder="1"/>
    <xf numFmtId="172" fontId="2" fillId="2" borderId="2" xfId="15" applyFont="1" applyFill="1" applyBorder="1"/>
    <xf numFmtId="172" fontId="2" fillId="3" borderId="2" xfId="15" applyFont="1" applyFill="1" applyBorder="1"/>
    <xf numFmtId="172" fontId="0" fillId="0" borderId="0" xfId="12" applyFont="1"/>
    <xf numFmtId="172" fontId="2" fillId="0" borderId="0" xfId="14" applyFont="1" applyBorder="1"/>
    <xf numFmtId="174" fontId="2" fillId="0" borderId="0" xfId="16" applyFont="1" applyBorder="1"/>
    <xf numFmtId="169" fontId="2" fillId="0" borderId="0" xfId="17" applyNumberFormat="1" applyFont="1" applyBorder="1"/>
    <xf numFmtId="169" fontId="2" fillId="0" borderId="0" xfId="16" applyNumberFormat="1" applyFont="1" applyBorder="1"/>
    <xf numFmtId="169" fontId="2" fillId="2" borderId="0" xfId="16" applyNumberFormat="1" applyFont="1" applyFill="1" applyBorder="1"/>
    <xf numFmtId="169" fontId="2" fillId="3" borderId="0" xfId="16" applyNumberFormat="1" applyFont="1" applyFill="1" applyBorder="1"/>
    <xf numFmtId="172" fontId="2" fillId="2" borderId="0" xfId="12" applyFont="1" applyFill="1" applyBorder="1"/>
    <xf numFmtId="172" fontId="0" fillId="0" borderId="0" xfId="12" quotePrefix="1" applyFont="1" applyBorder="1"/>
    <xf numFmtId="172" fontId="0" fillId="0" borderId="0" xfId="12" applyFont="1" applyBorder="1"/>
    <xf numFmtId="170" fontId="0" fillId="0" borderId="0" xfId="18" applyNumberFormat="1" applyFont="1"/>
    <xf numFmtId="171" fontId="2" fillId="0" borderId="0" xfId="19" applyNumberFormat="1" applyFont="1"/>
    <xf numFmtId="171" fontId="0" fillId="0" borderId="0" xfId="0" applyNumberFormat="1"/>
  </cellXfs>
  <cellStyles count="20">
    <cellStyle name="Millares" xfId="1" builtinId="3"/>
    <cellStyle name="Millares 2" xfId="16" xr:uid="{444F83E5-99B4-4FCB-85BF-D3E256AB6833}"/>
    <cellStyle name="Millares 6" xfId="10" xr:uid="{57623DFD-4CA5-41C1-AE11-73BF433E5CC9}"/>
    <cellStyle name="Millares 6 2" xfId="17" xr:uid="{13C5646F-3890-4F86-9828-BE0DF3EBB1AF}"/>
    <cellStyle name="Millares 7" xfId="18" xr:uid="{0974AF54-B2F9-4287-A5C5-C9FBD243FF68}"/>
    <cellStyle name="Moneda" xfId="2" builtinId="4"/>
    <cellStyle name="Moneda [0]" xfId="3" builtinId="7"/>
    <cellStyle name="Moneda [0] 12" xfId="6" xr:uid="{E63A762A-B298-4FAC-A919-E7B877B4CDCE}"/>
    <cellStyle name="Moneda [0] 12 2" xfId="7" xr:uid="{0011528F-220D-4C02-80EF-61912D86E3AF}"/>
    <cellStyle name="Moneda [0] 12 2 2" xfId="15" xr:uid="{97720023-9763-477E-B121-CAEF4D28A743}"/>
    <cellStyle name="Moneda [0] 12 3" xfId="14" xr:uid="{1CC21804-A502-4939-9DFA-4D19C120ACFB}"/>
    <cellStyle name="Moneda [0] 14" xfId="5" xr:uid="{7CC22667-4B39-4A75-A5E1-CCE2BE2E730C}"/>
    <cellStyle name="Moneda [0] 14 2" xfId="13" xr:uid="{FC87F028-BF6B-4C26-8DE7-1F5D3CBEEDF9}"/>
    <cellStyle name="Moneda [0] 2 5" xfId="12" xr:uid="{E668D2BD-B326-4AD4-8989-D96994F19C89}"/>
    <cellStyle name="Moneda 10" xfId="11" xr:uid="{53E7C906-8641-4B31-A30F-A8C303D3551D}"/>
    <cellStyle name="Moneda 10 2" xfId="19" xr:uid="{07930C3D-CA7D-4CC4-85E8-C4E8A3C270CA}"/>
    <cellStyle name="Moneda 2" xfId="9" xr:uid="{3A5A6620-C4A6-49B1-92A4-C3DF9A501B17}"/>
    <cellStyle name="Moneda 2 2" xfId="8" xr:uid="{25972222-9553-4180-B313-DBD0D65108D9}"/>
    <cellStyle name="Normal" xfId="0" builtinId="0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E8D29-48BE-4764-BE8C-354D99F377E4}">
  <dimension ref="A1:AP65"/>
  <sheetViews>
    <sheetView showGridLines="0" tabSelected="1" zoomScale="80" zoomScaleNormal="80" workbookViewId="0">
      <pane xSplit="2" ySplit="3" topLeftCell="C37" activePane="bottomRight" state="frozen"/>
      <selection activeCell="AL34" sqref="AL34"/>
      <selection pane="topRight" activeCell="AL34" sqref="AL34"/>
      <selection pane="bottomLeft" activeCell="AL34" sqref="AL34"/>
      <selection pane="bottomRight" sqref="A1:XFD1048576"/>
    </sheetView>
  </sheetViews>
  <sheetFormatPr baseColWidth="10" defaultColWidth="21.5546875" defaultRowHeight="14.4" outlineLevelCol="2" x14ac:dyDescent="0.3"/>
  <cols>
    <col min="1" max="1" width="26.5546875" bestFit="1" customWidth="1"/>
    <col min="2" max="2" width="11" customWidth="1"/>
    <col min="3" max="3" width="14.6640625" customWidth="1" outlineLevel="2"/>
    <col min="4" max="7" width="15.44140625" customWidth="1" outlineLevel="2"/>
    <col min="8" max="8" width="15.77734375" customWidth="1" outlineLevel="2"/>
    <col min="9" max="9" width="15.44140625" customWidth="1" outlineLevel="2"/>
    <col min="10" max="10" width="14.44140625" customWidth="1" outlineLevel="2"/>
    <col min="11" max="19" width="15.44140625" customWidth="1" outlineLevel="2"/>
    <col min="20" max="20" width="16.5546875" customWidth="1" outlineLevel="1"/>
    <col min="21" max="21" width="15.44140625" customWidth="1" outlineLevel="2"/>
    <col min="22" max="22" width="16.77734375" customWidth="1" outlineLevel="2"/>
    <col min="23" max="23" width="15.44140625" customWidth="1" outlineLevel="2"/>
    <col min="24" max="24" width="17.21875" customWidth="1" outlineLevel="2"/>
    <col min="25" max="25" width="16" customWidth="1" outlineLevel="2"/>
    <col min="26" max="27" width="15.44140625" customWidth="1" outlineLevel="2"/>
    <col min="28" max="28" width="16.5546875" customWidth="1" outlineLevel="1"/>
    <col min="29" max="29" width="16.5546875" bestFit="1" customWidth="1"/>
    <col min="30" max="33" width="14.44140625" customWidth="1" outlineLevel="1"/>
    <col min="34" max="34" width="13.88671875" customWidth="1" outlineLevel="1"/>
    <col min="35" max="35" width="16.5546875" customWidth="1" outlineLevel="1"/>
    <col min="36" max="36" width="15.5546875" customWidth="1" outlineLevel="1"/>
    <col min="37" max="37" width="13.88671875" bestFit="1" customWidth="1"/>
    <col min="38" max="38" width="14.5546875" bestFit="1" customWidth="1"/>
    <col min="39" max="39" width="17.21875" style="19" bestFit="1" customWidth="1"/>
    <col min="40" max="40" width="16.5546875" style="19" bestFit="1" customWidth="1"/>
    <col min="41" max="41" width="12.77734375" bestFit="1" customWidth="1"/>
  </cols>
  <sheetData>
    <row r="1" spans="1:41" s="1" customFormat="1" x14ac:dyDescent="0.3"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2</v>
      </c>
    </row>
    <row r="2" spans="1:41" s="2" customFormat="1" x14ac:dyDescent="0.3">
      <c r="B2" s="3"/>
      <c r="C2" s="3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4"/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4"/>
      <c r="AC2" s="4"/>
      <c r="AD2" s="2" t="s">
        <v>27</v>
      </c>
      <c r="AE2" s="2" t="s">
        <v>28</v>
      </c>
      <c r="AF2" s="2" t="s">
        <v>29</v>
      </c>
      <c r="AG2" s="2" t="s">
        <v>30</v>
      </c>
      <c r="AH2" s="2" t="s">
        <v>31</v>
      </c>
      <c r="AI2" s="3" t="s">
        <v>32</v>
      </c>
      <c r="AJ2" s="3" t="s">
        <v>33</v>
      </c>
      <c r="AK2" s="4"/>
      <c r="AL2" s="5" t="s">
        <v>34</v>
      </c>
      <c r="AM2" s="6"/>
      <c r="AN2" s="7"/>
      <c r="AO2" s="7"/>
    </row>
    <row r="3" spans="1:41" ht="43.2" x14ac:dyDescent="0.3">
      <c r="A3" s="8" t="s">
        <v>35</v>
      </c>
      <c r="B3" s="9" t="s">
        <v>36</v>
      </c>
      <c r="C3" s="10" t="s">
        <v>37</v>
      </c>
      <c r="D3" s="10" t="s">
        <v>38</v>
      </c>
      <c r="E3" s="10" t="s">
        <v>39</v>
      </c>
      <c r="F3" s="10" t="s">
        <v>40</v>
      </c>
      <c r="G3" s="10" t="s">
        <v>41</v>
      </c>
      <c r="H3" s="10" t="s">
        <v>42</v>
      </c>
      <c r="I3" s="10" t="s">
        <v>43</v>
      </c>
      <c r="J3" s="10" t="s">
        <v>44</v>
      </c>
      <c r="K3" s="10" t="s">
        <v>45</v>
      </c>
      <c r="L3" s="10" t="s">
        <v>46</v>
      </c>
      <c r="M3" s="10" t="s">
        <v>47</v>
      </c>
      <c r="N3" s="10" t="s">
        <v>48</v>
      </c>
      <c r="O3" s="10" t="s">
        <v>49</v>
      </c>
      <c r="P3" s="10" t="s">
        <v>50</v>
      </c>
      <c r="Q3" s="10" t="s">
        <v>51</v>
      </c>
      <c r="R3" s="10" t="s">
        <v>52</v>
      </c>
      <c r="S3" s="10" t="s">
        <v>53</v>
      </c>
      <c r="T3" s="11" t="s">
        <v>54</v>
      </c>
      <c r="U3" s="10" t="s">
        <v>55</v>
      </c>
      <c r="V3" s="10" t="s">
        <v>56</v>
      </c>
      <c r="W3" s="10" t="s">
        <v>57</v>
      </c>
      <c r="X3" s="10" t="s">
        <v>58</v>
      </c>
      <c r="Y3" s="10" t="s">
        <v>59</v>
      </c>
      <c r="Z3" s="10" t="s">
        <v>60</v>
      </c>
      <c r="AA3" s="10" t="s">
        <v>61</v>
      </c>
      <c r="AB3" s="11" t="s">
        <v>62</v>
      </c>
      <c r="AC3" s="11" t="s">
        <v>63</v>
      </c>
      <c r="AD3" s="10" t="s">
        <v>64</v>
      </c>
      <c r="AE3" s="10" t="s">
        <v>65</v>
      </c>
      <c r="AF3" s="10" t="s">
        <v>66</v>
      </c>
      <c r="AG3" s="10" t="s">
        <v>67</v>
      </c>
      <c r="AH3" s="10" t="s">
        <v>68</v>
      </c>
      <c r="AI3" s="10" t="s">
        <v>69</v>
      </c>
      <c r="AJ3" s="10" t="s">
        <v>70</v>
      </c>
      <c r="AK3" s="11" t="s">
        <v>71</v>
      </c>
      <c r="AL3" s="11" t="s">
        <v>72</v>
      </c>
      <c r="AM3" s="12" t="s">
        <v>73</v>
      </c>
      <c r="AN3" s="11" t="s">
        <v>74</v>
      </c>
      <c r="AO3" s="11" t="s">
        <v>75</v>
      </c>
    </row>
    <row r="4" spans="1:41" x14ac:dyDescent="0.3">
      <c r="A4" s="13" t="s">
        <v>76</v>
      </c>
      <c r="B4" s="14">
        <v>46296</v>
      </c>
      <c r="C4" s="15">
        <v>6616758</v>
      </c>
      <c r="D4" s="15">
        <v>13373020</v>
      </c>
      <c r="E4" s="15">
        <v>27082645</v>
      </c>
      <c r="F4" s="15">
        <v>15292366</v>
      </c>
      <c r="G4" s="15">
        <v>7876858</v>
      </c>
      <c r="H4" s="15">
        <v>18702551</v>
      </c>
      <c r="I4" s="15">
        <v>10594976</v>
      </c>
      <c r="J4" s="15">
        <v>12981475</v>
      </c>
      <c r="K4" s="15">
        <v>15609814</v>
      </c>
      <c r="L4" s="15">
        <v>10863602</v>
      </c>
      <c r="M4" s="15">
        <v>18328120</v>
      </c>
      <c r="N4" s="15">
        <v>18268325</v>
      </c>
      <c r="O4" s="15">
        <v>13060738</v>
      </c>
      <c r="P4" s="15">
        <v>10137362</v>
      </c>
      <c r="Q4" s="15">
        <v>12250242</v>
      </c>
      <c r="R4" s="15">
        <v>10340847</v>
      </c>
      <c r="S4" s="15">
        <v>14854333</v>
      </c>
      <c r="T4" s="16">
        <v>236234032</v>
      </c>
      <c r="U4" s="15">
        <v>19488469</v>
      </c>
      <c r="V4" s="15">
        <v>20650786</v>
      </c>
      <c r="W4" s="15">
        <v>27861993</v>
      </c>
      <c r="X4" s="15">
        <v>20978565</v>
      </c>
      <c r="Y4" s="15">
        <v>17619260</v>
      </c>
      <c r="Z4" s="15">
        <v>22758295</v>
      </c>
      <c r="AA4" s="15">
        <v>18941714</v>
      </c>
      <c r="AB4" s="16">
        <v>148299082</v>
      </c>
      <c r="AC4" s="16">
        <v>384533114</v>
      </c>
      <c r="AD4" s="15">
        <v>3692245</v>
      </c>
      <c r="AE4" s="15">
        <v>4064786</v>
      </c>
      <c r="AF4" s="15">
        <v>3785187</v>
      </c>
      <c r="AG4" s="15">
        <v>5942508</v>
      </c>
      <c r="AH4" s="15">
        <v>2287829</v>
      </c>
      <c r="AI4" s="15">
        <v>6468060</v>
      </c>
      <c r="AJ4" s="15">
        <v>3378334</v>
      </c>
      <c r="AK4" s="16">
        <v>29618949</v>
      </c>
      <c r="AL4" s="16">
        <v>1302464</v>
      </c>
      <c r="AM4" s="17">
        <v>415454527</v>
      </c>
      <c r="AN4" s="16">
        <v>309669887</v>
      </c>
      <c r="AO4" s="18">
        <v>0.34160454225889914</v>
      </c>
    </row>
    <row r="5" spans="1:41" x14ac:dyDescent="0.3">
      <c r="A5" s="13" t="s">
        <v>77</v>
      </c>
      <c r="B5" s="14">
        <v>46297</v>
      </c>
      <c r="C5" s="15">
        <v>5615580</v>
      </c>
      <c r="D5" s="15">
        <v>18895675</v>
      </c>
      <c r="E5" s="15">
        <v>29980378</v>
      </c>
      <c r="F5" s="15">
        <v>16387656</v>
      </c>
      <c r="G5" s="15">
        <v>14285381</v>
      </c>
      <c r="H5" s="15">
        <v>15638554</v>
      </c>
      <c r="I5" s="15">
        <v>11522652</v>
      </c>
      <c r="J5" s="15">
        <v>7526378</v>
      </c>
      <c r="K5" s="15">
        <v>18516341</v>
      </c>
      <c r="L5" s="15">
        <v>14878273</v>
      </c>
      <c r="M5" s="15">
        <v>24375470</v>
      </c>
      <c r="N5" s="15">
        <v>21662246</v>
      </c>
      <c r="O5" s="15">
        <v>15150548</v>
      </c>
      <c r="P5" s="15">
        <v>14210654</v>
      </c>
      <c r="Q5" s="15">
        <v>13325145</v>
      </c>
      <c r="R5" s="15">
        <v>12998348</v>
      </c>
      <c r="S5" s="15">
        <v>17763511</v>
      </c>
      <c r="T5" s="16">
        <v>272732790</v>
      </c>
      <c r="U5" s="15">
        <v>27040569</v>
      </c>
      <c r="V5" s="15">
        <v>30471402</v>
      </c>
      <c r="W5" s="15">
        <v>32399769</v>
      </c>
      <c r="X5" s="15">
        <v>22540093</v>
      </c>
      <c r="Y5" s="15">
        <v>21447916</v>
      </c>
      <c r="Z5" s="15">
        <v>35753750</v>
      </c>
      <c r="AA5" s="15">
        <v>20130513</v>
      </c>
      <c r="AB5" s="16">
        <v>189784012</v>
      </c>
      <c r="AC5" s="16">
        <v>462516802</v>
      </c>
      <c r="AD5" s="15">
        <v>4061395</v>
      </c>
      <c r="AE5" s="15">
        <v>5087572</v>
      </c>
      <c r="AF5" s="15">
        <v>4637080</v>
      </c>
      <c r="AG5" s="15">
        <v>6954657</v>
      </c>
      <c r="AH5" s="15">
        <v>2683743</v>
      </c>
      <c r="AI5" s="15">
        <v>6374220</v>
      </c>
      <c r="AJ5" s="15">
        <v>4088989</v>
      </c>
      <c r="AK5" s="16">
        <v>33887656</v>
      </c>
      <c r="AL5" s="16">
        <v>301261</v>
      </c>
      <c r="AM5" s="17">
        <v>496705719</v>
      </c>
      <c r="AN5" s="16">
        <v>375829103</v>
      </c>
      <c r="AO5" s="18">
        <v>0.32162654524388978</v>
      </c>
    </row>
    <row r="6" spans="1:41" x14ac:dyDescent="0.3">
      <c r="A6" s="13" t="s">
        <v>78</v>
      </c>
      <c r="B6" s="14">
        <v>46298</v>
      </c>
      <c r="C6" s="15">
        <v>2990276</v>
      </c>
      <c r="D6" s="15">
        <v>21645955</v>
      </c>
      <c r="E6" s="15">
        <v>37084270</v>
      </c>
      <c r="F6" s="15">
        <v>20053063</v>
      </c>
      <c r="G6" s="15">
        <v>13424046</v>
      </c>
      <c r="H6" s="15">
        <v>12798692</v>
      </c>
      <c r="I6" s="15">
        <v>21309167</v>
      </c>
      <c r="J6" s="15">
        <v>7265669</v>
      </c>
      <c r="K6" s="15">
        <v>20473325</v>
      </c>
      <c r="L6" s="15">
        <v>17483985</v>
      </c>
      <c r="M6" s="15">
        <v>30918811</v>
      </c>
      <c r="N6" s="15">
        <v>28150324</v>
      </c>
      <c r="O6" s="15">
        <v>13384164</v>
      </c>
      <c r="P6" s="15">
        <v>17581217</v>
      </c>
      <c r="Q6" s="15">
        <v>22629180</v>
      </c>
      <c r="R6" s="15">
        <v>18718084</v>
      </c>
      <c r="S6" s="15">
        <v>23483641</v>
      </c>
      <c r="T6" s="16">
        <v>329393869</v>
      </c>
      <c r="U6" s="15">
        <v>35655105</v>
      </c>
      <c r="V6" s="15">
        <v>35303941</v>
      </c>
      <c r="W6" s="15">
        <v>36556367</v>
      </c>
      <c r="X6" s="15">
        <v>33802680</v>
      </c>
      <c r="Y6" s="15">
        <v>9773157</v>
      </c>
      <c r="Z6" s="15">
        <v>45533377</v>
      </c>
      <c r="AA6" s="15">
        <v>24228970</v>
      </c>
      <c r="AB6" s="16">
        <v>220853597</v>
      </c>
      <c r="AC6" s="16">
        <v>550247466</v>
      </c>
      <c r="AD6" s="15">
        <v>5336455</v>
      </c>
      <c r="AE6" s="15">
        <v>5275154</v>
      </c>
      <c r="AF6" s="15">
        <v>3927039</v>
      </c>
      <c r="AG6" s="15">
        <v>9441061</v>
      </c>
      <c r="AH6" s="15">
        <v>3811756</v>
      </c>
      <c r="AI6" s="15">
        <v>8355302</v>
      </c>
      <c r="AJ6" s="15">
        <v>4683782</v>
      </c>
      <c r="AK6" s="16">
        <v>40830549</v>
      </c>
      <c r="AL6" s="16">
        <v>0</v>
      </c>
      <c r="AM6" s="17">
        <v>591078015</v>
      </c>
      <c r="AN6" s="16">
        <v>446955846</v>
      </c>
      <c r="AO6" s="18">
        <v>0.32245281114412361</v>
      </c>
    </row>
    <row r="7" spans="1:41" s="19" customFormat="1" x14ac:dyDescent="0.3">
      <c r="A7" s="13" t="s">
        <v>79</v>
      </c>
      <c r="B7" s="14">
        <v>46299</v>
      </c>
      <c r="C7" s="15">
        <v>0</v>
      </c>
      <c r="D7" s="15">
        <v>20138789</v>
      </c>
      <c r="E7" s="15">
        <v>34629487</v>
      </c>
      <c r="F7" s="15">
        <v>23452243</v>
      </c>
      <c r="G7" s="15">
        <v>19649562</v>
      </c>
      <c r="H7" s="15">
        <v>13993415</v>
      </c>
      <c r="I7" s="15">
        <v>16207733</v>
      </c>
      <c r="J7" s="15">
        <v>3181387</v>
      </c>
      <c r="K7" s="15">
        <v>16989072</v>
      </c>
      <c r="L7" s="15">
        <v>16228539</v>
      </c>
      <c r="M7" s="15">
        <v>32385857</v>
      </c>
      <c r="N7" s="15">
        <v>20978742</v>
      </c>
      <c r="O7" s="15">
        <v>14554118</v>
      </c>
      <c r="P7" s="15">
        <v>18091480</v>
      </c>
      <c r="Q7" s="15">
        <v>22917669</v>
      </c>
      <c r="R7" s="15">
        <v>22214993</v>
      </c>
      <c r="S7" s="15">
        <v>26080782</v>
      </c>
      <c r="T7" s="16">
        <v>321693868</v>
      </c>
      <c r="U7" s="15">
        <v>28816068</v>
      </c>
      <c r="V7" s="15">
        <v>32945433</v>
      </c>
      <c r="W7" s="15">
        <v>33243833</v>
      </c>
      <c r="X7" s="15">
        <v>26978326</v>
      </c>
      <c r="Y7" s="15">
        <v>10986688</v>
      </c>
      <c r="Z7" s="15">
        <v>36320688</v>
      </c>
      <c r="AA7" s="15">
        <v>20936396</v>
      </c>
      <c r="AB7" s="16">
        <v>190227432</v>
      </c>
      <c r="AC7" s="16">
        <v>511921300</v>
      </c>
      <c r="AD7" s="15">
        <v>4470969</v>
      </c>
      <c r="AE7" s="15">
        <v>4861468</v>
      </c>
      <c r="AF7" s="15">
        <v>2553748</v>
      </c>
      <c r="AG7" s="15">
        <v>8837009</v>
      </c>
      <c r="AH7" s="15">
        <v>3145642</v>
      </c>
      <c r="AI7" s="15">
        <v>6886819</v>
      </c>
      <c r="AJ7" s="15">
        <v>3152802</v>
      </c>
      <c r="AK7" s="16">
        <v>33908457</v>
      </c>
      <c r="AL7" s="16">
        <v>0</v>
      </c>
      <c r="AM7" s="17">
        <v>545829757</v>
      </c>
      <c r="AN7" s="16">
        <v>432558012</v>
      </c>
      <c r="AO7" s="18">
        <v>0.26186486403585563</v>
      </c>
    </row>
    <row r="8" spans="1:41" s="22" customFormat="1" x14ac:dyDescent="0.3">
      <c r="A8" s="20" t="s">
        <v>80</v>
      </c>
      <c r="B8" s="21"/>
      <c r="C8" s="22">
        <v>15222614</v>
      </c>
      <c r="D8" s="22">
        <v>74053439</v>
      </c>
      <c r="E8" s="22">
        <v>128776780</v>
      </c>
      <c r="F8" s="22">
        <v>75185328</v>
      </c>
      <c r="G8" s="22">
        <v>55235847</v>
      </c>
      <c r="H8" s="22">
        <v>61133212</v>
      </c>
      <c r="I8" s="22">
        <v>59634528</v>
      </c>
      <c r="J8" s="22">
        <v>30954909</v>
      </c>
      <c r="K8" s="22">
        <v>71588552</v>
      </c>
      <c r="L8" s="22">
        <v>59454399</v>
      </c>
      <c r="M8" s="22">
        <v>106008258</v>
      </c>
      <c r="N8" s="22">
        <v>89059637</v>
      </c>
      <c r="O8" s="22">
        <v>56149568</v>
      </c>
      <c r="P8" s="22">
        <v>60020713</v>
      </c>
      <c r="Q8" s="22">
        <v>71122236</v>
      </c>
      <c r="R8" s="22">
        <v>64272272</v>
      </c>
      <c r="S8" s="22">
        <v>82182267</v>
      </c>
      <c r="T8" s="23">
        <v>1160054559</v>
      </c>
      <c r="U8" s="22">
        <v>111000211</v>
      </c>
      <c r="V8" s="22">
        <v>119371562</v>
      </c>
      <c r="W8" s="22">
        <v>130061962</v>
      </c>
      <c r="X8" s="22">
        <v>104299664</v>
      </c>
      <c r="Y8" s="22">
        <v>59827021</v>
      </c>
      <c r="Z8" s="22">
        <v>140366110</v>
      </c>
      <c r="AA8" s="22">
        <v>84237593</v>
      </c>
      <c r="AB8" s="23">
        <v>749164123</v>
      </c>
      <c r="AC8" s="23">
        <v>1909218682</v>
      </c>
      <c r="AD8" s="22">
        <v>17561064</v>
      </c>
      <c r="AE8" s="22">
        <v>19288980</v>
      </c>
      <c r="AF8" s="22">
        <v>14903054</v>
      </c>
      <c r="AG8" s="22">
        <v>31175235</v>
      </c>
      <c r="AH8" s="22">
        <v>11928970</v>
      </c>
      <c r="AI8" s="22">
        <v>28084401</v>
      </c>
      <c r="AJ8" s="22">
        <v>15303907</v>
      </c>
      <c r="AK8" s="23">
        <v>138245611</v>
      </c>
      <c r="AL8" s="23">
        <v>1603725</v>
      </c>
      <c r="AM8" s="24">
        <v>2049068018</v>
      </c>
      <c r="AN8" s="25">
        <v>1565012848</v>
      </c>
      <c r="AO8" s="18">
        <v>0.3092978889078104</v>
      </c>
    </row>
    <row r="9" spans="1:41" x14ac:dyDescent="0.3">
      <c r="A9" s="13" t="s">
        <v>81</v>
      </c>
      <c r="B9" s="14">
        <v>46300</v>
      </c>
      <c r="C9" s="15">
        <v>4454025</v>
      </c>
      <c r="D9" s="15">
        <v>11131540</v>
      </c>
      <c r="E9" s="15">
        <v>24961937</v>
      </c>
      <c r="F9" s="15">
        <v>12520708</v>
      </c>
      <c r="G9" s="15">
        <v>7823337</v>
      </c>
      <c r="H9" s="15">
        <v>12689349</v>
      </c>
      <c r="I9" s="15">
        <v>6054680</v>
      </c>
      <c r="J9" s="15">
        <v>4857340</v>
      </c>
      <c r="K9" s="15">
        <v>13288857</v>
      </c>
      <c r="L9" s="15">
        <v>9810507</v>
      </c>
      <c r="M9" s="15">
        <v>19086528</v>
      </c>
      <c r="N9" s="15">
        <v>15532089</v>
      </c>
      <c r="O9" s="15">
        <v>12009027</v>
      </c>
      <c r="P9" s="15">
        <v>6564671</v>
      </c>
      <c r="Q9" s="15">
        <v>10000906</v>
      </c>
      <c r="R9" s="15">
        <v>7459730</v>
      </c>
      <c r="S9" s="15">
        <v>14235048</v>
      </c>
      <c r="T9" s="16">
        <v>192480279</v>
      </c>
      <c r="U9" s="15">
        <v>16445687</v>
      </c>
      <c r="V9" s="15">
        <v>16212659</v>
      </c>
      <c r="W9" s="15">
        <v>19027376</v>
      </c>
      <c r="X9" s="15">
        <v>14712406</v>
      </c>
      <c r="Y9" s="15">
        <v>14113952</v>
      </c>
      <c r="Z9" s="15">
        <v>24188526</v>
      </c>
      <c r="AA9" s="15">
        <v>14843935</v>
      </c>
      <c r="AB9" s="16">
        <v>119544541</v>
      </c>
      <c r="AC9" s="16">
        <v>312024820</v>
      </c>
      <c r="AD9" s="15">
        <v>3276664</v>
      </c>
      <c r="AE9" s="15">
        <v>3961558</v>
      </c>
      <c r="AF9" s="15">
        <v>3474140</v>
      </c>
      <c r="AG9" s="15">
        <v>5689436</v>
      </c>
      <c r="AH9" s="15">
        <v>1907002</v>
      </c>
      <c r="AI9" s="15">
        <v>5068686</v>
      </c>
      <c r="AJ9" s="15">
        <v>3086741</v>
      </c>
      <c r="AK9" s="16">
        <v>26464227</v>
      </c>
      <c r="AL9" s="16">
        <v>-9739340</v>
      </c>
      <c r="AM9" s="17">
        <v>328749707</v>
      </c>
      <c r="AN9" s="16">
        <v>254542284</v>
      </c>
      <c r="AO9" s="18">
        <v>0.29153279303488921</v>
      </c>
    </row>
    <row r="10" spans="1:41" s="19" customFormat="1" x14ac:dyDescent="0.3">
      <c r="A10" s="13" t="s">
        <v>82</v>
      </c>
      <c r="B10" s="14">
        <v>46301</v>
      </c>
      <c r="C10" s="15">
        <v>5285763</v>
      </c>
      <c r="D10" s="15">
        <v>11556279</v>
      </c>
      <c r="E10" s="15">
        <v>26978192</v>
      </c>
      <c r="F10" s="15">
        <v>17073576</v>
      </c>
      <c r="G10" s="15">
        <v>7151435</v>
      </c>
      <c r="H10" s="15">
        <v>13090810</v>
      </c>
      <c r="I10" s="15">
        <v>9848564</v>
      </c>
      <c r="J10" s="15">
        <v>7753097</v>
      </c>
      <c r="K10" s="15">
        <v>11467815</v>
      </c>
      <c r="L10" s="15">
        <v>9180880</v>
      </c>
      <c r="M10" s="15">
        <v>17301711</v>
      </c>
      <c r="N10" s="15">
        <v>12781151</v>
      </c>
      <c r="O10" s="15">
        <v>11628183</v>
      </c>
      <c r="P10" s="15">
        <v>10070511</v>
      </c>
      <c r="Q10" s="15">
        <v>11746770</v>
      </c>
      <c r="R10" s="15">
        <v>10235764</v>
      </c>
      <c r="S10" s="15">
        <v>15202544</v>
      </c>
      <c r="T10" s="16">
        <v>208353045</v>
      </c>
      <c r="U10" s="15">
        <v>15322223</v>
      </c>
      <c r="V10" s="15">
        <v>17586710</v>
      </c>
      <c r="W10" s="15">
        <v>20940249</v>
      </c>
      <c r="X10" s="15">
        <v>13839582</v>
      </c>
      <c r="Y10" s="15">
        <v>15221528</v>
      </c>
      <c r="Z10" s="15">
        <v>23416728</v>
      </c>
      <c r="AA10" s="15">
        <v>14343564</v>
      </c>
      <c r="AB10" s="16">
        <v>120670584</v>
      </c>
      <c r="AC10" s="16">
        <v>329023629</v>
      </c>
      <c r="AD10" s="15">
        <v>3425690</v>
      </c>
      <c r="AE10" s="15">
        <v>3473862</v>
      </c>
      <c r="AF10" s="15">
        <v>3721434</v>
      </c>
      <c r="AG10" s="15">
        <v>6844672</v>
      </c>
      <c r="AH10" s="15">
        <v>2251935</v>
      </c>
      <c r="AI10" s="15">
        <v>5097269</v>
      </c>
      <c r="AJ10" s="15">
        <v>3411524</v>
      </c>
      <c r="AK10" s="16">
        <v>28226386</v>
      </c>
      <c r="AL10" s="16">
        <v>688076</v>
      </c>
      <c r="AM10" s="17">
        <v>357938091</v>
      </c>
      <c r="AN10" s="16">
        <v>274049628</v>
      </c>
      <c r="AO10" s="18">
        <v>0.30610683040226561</v>
      </c>
    </row>
    <row r="11" spans="1:41" x14ac:dyDescent="0.3">
      <c r="A11" s="13" t="s">
        <v>83</v>
      </c>
      <c r="B11" s="14">
        <v>46302</v>
      </c>
      <c r="C11" s="15">
        <v>5220925</v>
      </c>
      <c r="D11" s="15">
        <v>12473027</v>
      </c>
      <c r="E11" s="15">
        <v>30496872</v>
      </c>
      <c r="F11" s="15">
        <v>15465383</v>
      </c>
      <c r="G11" s="15">
        <v>7240870</v>
      </c>
      <c r="H11" s="15">
        <v>11977589</v>
      </c>
      <c r="I11" s="15">
        <v>10222838</v>
      </c>
      <c r="J11" s="15">
        <v>9097067</v>
      </c>
      <c r="K11" s="15">
        <v>14836915</v>
      </c>
      <c r="L11" s="15">
        <v>10284348</v>
      </c>
      <c r="M11" s="15">
        <v>20989996</v>
      </c>
      <c r="N11" s="15">
        <v>17282890</v>
      </c>
      <c r="O11" s="15">
        <v>15539744</v>
      </c>
      <c r="P11" s="15">
        <v>9500910</v>
      </c>
      <c r="Q11" s="15">
        <v>11177620</v>
      </c>
      <c r="R11" s="15">
        <v>10897869</v>
      </c>
      <c r="S11" s="15">
        <v>15299029</v>
      </c>
      <c r="T11" s="16">
        <v>228003892</v>
      </c>
      <c r="U11" s="15">
        <v>15356017</v>
      </c>
      <c r="V11" s="15">
        <v>20845270</v>
      </c>
      <c r="W11" s="15">
        <v>21866010</v>
      </c>
      <c r="X11" s="15">
        <v>20187820</v>
      </c>
      <c r="Y11" s="15">
        <v>17666106</v>
      </c>
      <c r="Z11" s="15">
        <v>26792624</v>
      </c>
      <c r="AA11" s="15">
        <v>16555710</v>
      </c>
      <c r="AB11" s="16">
        <v>139269557</v>
      </c>
      <c r="AC11" s="16">
        <v>367273449</v>
      </c>
      <c r="AD11" s="15">
        <v>3489249</v>
      </c>
      <c r="AE11" s="15">
        <v>4110297</v>
      </c>
      <c r="AF11" s="15">
        <v>4652200</v>
      </c>
      <c r="AG11" s="15">
        <v>7882304</v>
      </c>
      <c r="AH11" s="15">
        <v>2656479</v>
      </c>
      <c r="AI11" s="15">
        <v>5117232</v>
      </c>
      <c r="AJ11" s="15">
        <v>3801857</v>
      </c>
      <c r="AK11" s="16">
        <v>31709618</v>
      </c>
      <c r="AL11" s="16">
        <v>758495</v>
      </c>
      <c r="AM11" s="17">
        <v>399741562</v>
      </c>
      <c r="AN11" s="16">
        <v>278765581</v>
      </c>
      <c r="AO11" s="18">
        <v>0.43397029348468963</v>
      </c>
    </row>
    <row r="12" spans="1:41" x14ac:dyDescent="0.3">
      <c r="A12" s="13" t="s">
        <v>84</v>
      </c>
      <c r="B12" s="14">
        <v>46303</v>
      </c>
      <c r="C12" s="15">
        <v>4365504</v>
      </c>
      <c r="D12" s="15">
        <v>15484556</v>
      </c>
      <c r="E12" s="15">
        <v>29536660</v>
      </c>
      <c r="F12" s="15">
        <v>15783253</v>
      </c>
      <c r="G12" s="15">
        <v>6188507</v>
      </c>
      <c r="H12" s="15">
        <v>13555926</v>
      </c>
      <c r="I12" s="15">
        <v>8758289</v>
      </c>
      <c r="J12" s="15">
        <v>8218326</v>
      </c>
      <c r="K12" s="15">
        <v>18016254</v>
      </c>
      <c r="L12" s="15">
        <v>12506344</v>
      </c>
      <c r="M12" s="15">
        <v>20868338</v>
      </c>
      <c r="N12" s="15">
        <v>16072235</v>
      </c>
      <c r="O12" s="15">
        <v>13309219</v>
      </c>
      <c r="P12" s="15">
        <v>11070194</v>
      </c>
      <c r="Q12" s="15">
        <v>11410398</v>
      </c>
      <c r="R12" s="15">
        <v>10966437</v>
      </c>
      <c r="S12" s="15">
        <v>16115388</v>
      </c>
      <c r="T12" s="16">
        <v>232225828</v>
      </c>
      <c r="U12" s="15">
        <v>16315489</v>
      </c>
      <c r="V12" s="15">
        <v>21878799</v>
      </c>
      <c r="W12" s="15">
        <v>23618990</v>
      </c>
      <c r="X12" s="15">
        <v>17437732</v>
      </c>
      <c r="Y12" s="15">
        <v>14691476</v>
      </c>
      <c r="Z12" s="15">
        <v>25471993</v>
      </c>
      <c r="AA12" s="15">
        <v>13499633</v>
      </c>
      <c r="AB12" s="16">
        <v>132914112</v>
      </c>
      <c r="AC12" s="16">
        <v>365139940</v>
      </c>
      <c r="AD12" s="15">
        <v>3426200</v>
      </c>
      <c r="AE12" s="15">
        <v>4124625</v>
      </c>
      <c r="AF12" s="15">
        <v>4201810</v>
      </c>
      <c r="AG12" s="15">
        <v>6500914</v>
      </c>
      <c r="AH12" s="15">
        <v>2608750</v>
      </c>
      <c r="AI12" s="15">
        <v>5918365</v>
      </c>
      <c r="AJ12" s="15">
        <v>3753287</v>
      </c>
      <c r="AK12" s="16">
        <v>30533951</v>
      </c>
      <c r="AL12" s="16">
        <v>1300744</v>
      </c>
      <c r="AM12" s="17">
        <v>396974635</v>
      </c>
      <c r="AN12" s="16">
        <v>299944245</v>
      </c>
      <c r="AO12" s="18">
        <v>0.32349475483351919</v>
      </c>
    </row>
    <row r="13" spans="1:41" x14ac:dyDescent="0.3">
      <c r="A13" s="13" t="s">
        <v>85</v>
      </c>
      <c r="B13" s="14">
        <v>46304</v>
      </c>
      <c r="C13" s="15">
        <v>5308138</v>
      </c>
      <c r="D13" s="15">
        <v>13334852</v>
      </c>
      <c r="E13" s="15">
        <v>32030649</v>
      </c>
      <c r="F13" s="15">
        <v>17766740</v>
      </c>
      <c r="G13" s="15">
        <v>8635790</v>
      </c>
      <c r="H13" s="15">
        <v>15880741</v>
      </c>
      <c r="I13" s="15">
        <v>13815466</v>
      </c>
      <c r="J13" s="15">
        <v>7991275</v>
      </c>
      <c r="K13" s="15">
        <v>19289591</v>
      </c>
      <c r="L13" s="15">
        <v>11226002</v>
      </c>
      <c r="M13" s="15">
        <v>24218891</v>
      </c>
      <c r="N13" s="15">
        <v>20201067</v>
      </c>
      <c r="O13" s="15">
        <v>16663331</v>
      </c>
      <c r="P13" s="15">
        <v>10839348</v>
      </c>
      <c r="Q13" s="15">
        <v>16246670</v>
      </c>
      <c r="R13" s="15">
        <v>10092852</v>
      </c>
      <c r="S13" s="15">
        <v>15241232</v>
      </c>
      <c r="T13" s="16">
        <v>258782635</v>
      </c>
      <c r="U13" s="15">
        <v>23299631</v>
      </c>
      <c r="V13" s="15">
        <v>27144269</v>
      </c>
      <c r="W13" s="15">
        <v>28039301</v>
      </c>
      <c r="X13" s="15">
        <v>20550099</v>
      </c>
      <c r="Y13" s="15">
        <v>19298429</v>
      </c>
      <c r="Z13" s="15">
        <v>33718470</v>
      </c>
      <c r="AA13" s="15">
        <v>13049649</v>
      </c>
      <c r="AB13" s="16">
        <v>165099848</v>
      </c>
      <c r="AC13" s="16">
        <v>423882483</v>
      </c>
      <c r="AD13" s="15">
        <v>4346211</v>
      </c>
      <c r="AE13" s="15">
        <v>4434321</v>
      </c>
      <c r="AF13" s="15">
        <v>3983652</v>
      </c>
      <c r="AG13" s="15">
        <v>6865671</v>
      </c>
      <c r="AH13" s="15">
        <v>2752798</v>
      </c>
      <c r="AI13" s="15">
        <v>5336403</v>
      </c>
      <c r="AJ13" s="15">
        <v>4379508</v>
      </c>
      <c r="AK13" s="16">
        <v>32098564</v>
      </c>
      <c r="AL13" s="16">
        <v>473319</v>
      </c>
      <c r="AM13" s="17">
        <v>456454366</v>
      </c>
      <c r="AN13" s="16">
        <v>356976088</v>
      </c>
      <c r="AO13" s="18">
        <v>0.27866930403472856</v>
      </c>
    </row>
    <row r="14" spans="1:41" x14ac:dyDescent="0.3">
      <c r="A14" s="13" t="s">
        <v>86</v>
      </c>
      <c r="B14" s="14">
        <v>46305</v>
      </c>
      <c r="C14" s="15">
        <v>2603659</v>
      </c>
      <c r="D14" s="15">
        <v>20653686</v>
      </c>
      <c r="E14" s="15">
        <v>35651621</v>
      </c>
      <c r="F14" s="15">
        <v>23525850</v>
      </c>
      <c r="G14" s="15">
        <v>11901002</v>
      </c>
      <c r="H14" s="15">
        <v>12027089</v>
      </c>
      <c r="I14" s="15">
        <v>14475001</v>
      </c>
      <c r="J14" s="15">
        <v>3938545</v>
      </c>
      <c r="K14" s="15">
        <v>16875941</v>
      </c>
      <c r="L14" s="15">
        <v>13472616</v>
      </c>
      <c r="M14" s="15">
        <v>31845287</v>
      </c>
      <c r="N14" s="15">
        <v>24570681</v>
      </c>
      <c r="O14" s="15">
        <v>13909384</v>
      </c>
      <c r="P14" s="15">
        <v>16781465</v>
      </c>
      <c r="Q14" s="15">
        <v>19700208</v>
      </c>
      <c r="R14" s="15">
        <v>16702786</v>
      </c>
      <c r="S14" s="15">
        <v>22552419</v>
      </c>
      <c r="T14" s="16">
        <v>301187240</v>
      </c>
      <c r="U14" s="15">
        <v>27960647</v>
      </c>
      <c r="V14" s="15">
        <v>31730327</v>
      </c>
      <c r="W14" s="15">
        <v>35725831</v>
      </c>
      <c r="X14" s="15">
        <v>26553938</v>
      </c>
      <c r="Y14" s="15">
        <v>7998352</v>
      </c>
      <c r="Z14" s="15">
        <v>36097152</v>
      </c>
      <c r="AA14" s="15">
        <v>16694835</v>
      </c>
      <c r="AB14" s="16">
        <v>182761082</v>
      </c>
      <c r="AC14" s="16">
        <v>483948322</v>
      </c>
      <c r="AD14" s="15">
        <v>5422596</v>
      </c>
      <c r="AE14" s="15">
        <v>4263126</v>
      </c>
      <c r="AF14" s="15">
        <v>3175598</v>
      </c>
      <c r="AG14" s="15">
        <v>9014230</v>
      </c>
      <c r="AH14" s="15">
        <v>3471428</v>
      </c>
      <c r="AI14" s="15">
        <v>8672121</v>
      </c>
      <c r="AJ14" s="15">
        <v>4025321</v>
      </c>
      <c r="AK14" s="16">
        <v>38044420</v>
      </c>
      <c r="AL14" s="16">
        <v>0</v>
      </c>
      <c r="AM14" s="17">
        <v>521992742</v>
      </c>
      <c r="AN14" s="16">
        <v>388893152</v>
      </c>
      <c r="AO14" s="18">
        <v>0.34225233670352728</v>
      </c>
    </row>
    <row r="15" spans="1:41" x14ac:dyDescent="0.3">
      <c r="A15" s="13" t="s">
        <v>87</v>
      </c>
      <c r="B15" s="14">
        <v>46306</v>
      </c>
      <c r="C15" s="15">
        <v>0</v>
      </c>
      <c r="D15" s="15">
        <v>18939393</v>
      </c>
      <c r="E15" s="15">
        <v>36635035</v>
      </c>
      <c r="F15" s="15">
        <v>22089899</v>
      </c>
      <c r="G15" s="15">
        <v>16373214</v>
      </c>
      <c r="H15" s="15">
        <v>13186650</v>
      </c>
      <c r="I15" s="15">
        <v>14154586</v>
      </c>
      <c r="J15" s="15">
        <v>9731481</v>
      </c>
      <c r="K15" s="15">
        <v>15520207</v>
      </c>
      <c r="L15" s="15">
        <v>12734200</v>
      </c>
      <c r="M15" s="15">
        <v>28940826</v>
      </c>
      <c r="N15" s="15">
        <v>24948979</v>
      </c>
      <c r="O15" s="15">
        <v>15078951</v>
      </c>
      <c r="P15" s="15">
        <v>17072684</v>
      </c>
      <c r="Q15" s="15">
        <v>24286572</v>
      </c>
      <c r="R15" s="15">
        <v>17224258</v>
      </c>
      <c r="S15" s="15">
        <v>21775031</v>
      </c>
      <c r="T15" s="16">
        <v>308691966</v>
      </c>
      <c r="U15" s="15">
        <v>24672550</v>
      </c>
      <c r="V15" s="15">
        <v>34686588</v>
      </c>
      <c r="W15" s="15">
        <v>31666489</v>
      </c>
      <c r="X15" s="15">
        <v>28988629</v>
      </c>
      <c r="Y15" s="15">
        <v>9331245</v>
      </c>
      <c r="Z15" s="15">
        <v>33807167</v>
      </c>
      <c r="AA15" s="15">
        <v>23169284</v>
      </c>
      <c r="AB15" s="16">
        <v>186321952</v>
      </c>
      <c r="AC15" s="16">
        <v>495013918</v>
      </c>
      <c r="AD15" s="15">
        <v>3309221</v>
      </c>
      <c r="AE15" s="15">
        <v>4742798</v>
      </c>
      <c r="AF15" s="15">
        <v>2771801</v>
      </c>
      <c r="AG15" s="15">
        <v>8771875</v>
      </c>
      <c r="AH15" s="15">
        <v>2845547</v>
      </c>
      <c r="AI15" s="15">
        <v>6123956</v>
      </c>
      <c r="AJ15" s="15">
        <v>2118631</v>
      </c>
      <c r="AK15" s="16">
        <v>30683829</v>
      </c>
      <c r="AL15" s="16">
        <v>0</v>
      </c>
      <c r="AM15" s="17">
        <v>525697747</v>
      </c>
      <c r="AN15" s="16">
        <v>414776461</v>
      </c>
      <c r="AO15" s="18">
        <v>0.26742425482047794</v>
      </c>
    </row>
    <row r="16" spans="1:41" s="22" customFormat="1" x14ac:dyDescent="0.3">
      <c r="A16" s="20" t="s">
        <v>88</v>
      </c>
      <c r="B16" s="21"/>
      <c r="C16" s="22">
        <v>27238014</v>
      </c>
      <c r="D16" s="22">
        <v>103573333</v>
      </c>
      <c r="E16" s="22">
        <v>216290966</v>
      </c>
      <c r="F16" s="22">
        <v>124225409</v>
      </c>
      <c r="G16" s="22">
        <v>65314155</v>
      </c>
      <c r="H16" s="22">
        <v>92408154</v>
      </c>
      <c r="I16" s="22">
        <v>77329424</v>
      </c>
      <c r="J16" s="22">
        <v>51587131</v>
      </c>
      <c r="K16" s="22">
        <v>109295580</v>
      </c>
      <c r="L16" s="22">
        <v>79214897</v>
      </c>
      <c r="M16" s="22">
        <v>163251577</v>
      </c>
      <c r="N16" s="22">
        <v>131389092</v>
      </c>
      <c r="O16" s="22">
        <v>98137839</v>
      </c>
      <c r="P16" s="22">
        <v>81899783</v>
      </c>
      <c r="Q16" s="22">
        <v>104569144</v>
      </c>
      <c r="R16" s="22">
        <v>83579696</v>
      </c>
      <c r="S16" s="22">
        <v>120420691</v>
      </c>
      <c r="T16" s="23">
        <v>1729724885</v>
      </c>
      <c r="U16" s="22">
        <v>139372244</v>
      </c>
      <c r="V16" s="22">
        <v>170084622</v>
      </c>
      <c r="W16" s="22">
        <v>180884246</v>
      </c>
      <c r="X16" s="22">
        <v>142270206</v>
      </c>
      <c r="Y16" s="22">
        <v>98321088</v>
      </c>
      <c r="Z16" s="22">
        <v>203492660</v>
      </c>
      <c r="AA16" s="22">
        <v>112156610</v>
      </c>
      <c r="AB16" s="23">
        <v>1046581676</v>
      </c>
      <c r="AC16" s="23">
        <v>2776306561</v>
      </c>
      <c r="AD16" s="22">
        <v>26695831</v>
      </c>
      <c r="AE16" s="22">
        <v>29110587</v>
      </c>
      <c r="AF16" s="22">
        <v>25980635</v>
      </c>
      <c r="AG16" s="22">
        <v>51569102</v>
      </c>
      <c r="AH16" s="22">
        <v>18493939</v>
      </c>
      <c r="AI16" s="22">
        <v>41334032</v>
      </c>
      <c r="AJ16" s="22">
        <v>24576869</v>
      </c>
      <c r="AK16" s="23">
        <v>217760995</v>
      </c>
      <c r="AL16" s="23">
        <v>-6518706</v>
      </c>
      <c r="AM16" s="24">
        <v>2987548850</v>
      </c>
      <c r="AN16" s="23">
        <v>2267947439</v>
      </c>
      <c r="AO16" s="18">
        <v>0.31729192600569789</v>
      </c>
    </row>
    <row r="17" spans="1:41" s="19" customFormat="1" x14ac:dyDescent="0.3">
      <c r="A17" s="13" t="s">
        <v>89</v>
      </c>
      <c r="B17" s="14">
        <v>46307</v>
      </c>
      <c r="C17" s="15">
        <v>-247871</v>
      </c>
      <c r="D17" s="15">
        <v>12679170</v>
      </c>
      <c r="E17" s="15">
        <v>28829193</v>
      </c>
      <c r="F17" s="15">
        <v>16220738</v>
      </c>
      <c r="G17" s="15">
        <v>10405652</v>
      </c>
      <c r="H17" s="15">
        <v>7136801</v>
      </c>
      <c r="I17" s="15">
        <v>12903334</v>
      </c>
      <c r="J17" s="15">
        <v>-126111</v>
      </c>
      <c r="K17" s="15">
        <v>12844073</v>
      </c>
      <c r="L17" s="15">
        <v>17866134</v>
      </c>
      <c r="M17" s="15">
        <v>26507922</v>
      </c>
      <c r="N17" s="15">
        <v>16474401</v>
      </c>
      <c r="O17" s="15">
        <v>12169422</v>
      </c>
      <c r="P17" s="15">
        <v>15230004</v>
      </c>
      <c r="Q17" s="15">
        <v>16628711</v>
      </c>
      <c r="R17" s="15">
        <v>12694454</v>
      </c>
      <c r="S17" s="15">
        <v>20773323</v>
      </c>
      <c r="T17" s="16">
        <v>238989350</v>
      </c>
      <c r="U17" s="15">
        <v>21861993</v>
      </c>
      <c r="V17" s="15">
        <v>28966207</v>
      </c>
      <c r="W17" s="15">
        <v>28872446</v>
      </c>
      <c r="X17" s="15">
        <v>22008609</v>
      </c>
      <c r="Y17" s="15">
        <v>7899120</v>
      </c>
      <c r="Z17" s="15">
        <v>30910654</v>
      </c>
      <c r="AA17" s="15">
        <v>12318939</v>
      </c>
      <c r="AB17" s="16">
        <v>152837968</v>
      </c>
      <c r="AC17" s="16">
        <v>391827318</v>
      </c>
      <c r="AD17" s="15">
        <v>3988516</v>
      </c>
      <c r="AE17" s="15">
        <v>4061960</v>
      </c>
      <c r="AF17" s="15">
        <v>3169348</v>
      </c>
      <c r="AG17" s="15">
        <v>6553521</v>
      </c>
      <c r="AH17" s="15">
        <v>2940573</v>
      </c>
      <c r="AI17" s="15">
        <v>6486569</v>
      </c>
      <c r="AJ17" s="15">
        <v>2748626</v>
      </c>
      <c r="AK17" s="16">
        <v>29949113</v>
      </c>
      <c r="AL17" s="16">
        <v>0</v>
      </c>
      <c r="AM17" s="17">
        <v>421776431</v>
      </c>
      <c r="AN17" s="16">
        <v>350220611</v>
      </c>
      <c r="AO17" s="18">
        <v>0.20431641586051597</v>
      </c>
    </row>
    <row r="18" spans="1:41" x14ac:dyDescent="0.3">
      <c r="A18" s="13" t="s">
        <v>90</v>
      </c>
      <c r="B18" s="14">
        <v>46308</v>
      </c>
      <c r="C18" s="15">
        <v>5313888</v>
      </c>
      <c r="D18" s="15">
        <v>11518402</v>
      </c>
      <c r="E18" s="15">
        <v>23978371</v>
      </c>
      <c r="F18" s="15">
        <v>11558632</v>
      </c>
      <c r="G18" s="15">
        <v>6299035</v>
      </c>
      <c r="H18" s="15">
        <v>12444506</v>
      </c>
      <c r="I18" s="15">
        <v>8581714</v>
      </c>
      <c r="J18" s="15">
        <v>9545159</v>
      </c>
      <c r="K18" s="15">
        <v>13057123</v>
      </c>
      <c r="L18" s="15">
        <v>7385181</v>
      </c>
      <c r="M18" s="15">
        <v>16766518</v>
      </c>
      <c r="N18" s="15">
        <v>15544168</v>
      </c>
      <c r="O18" s="15">
        <v>11231938</v>
      </c>
      <c r="P18" s="15">
        <v>6638610</v>
      </c>
      <c r="Q18" s="15">
        <v>9762292</v>
      </c>
      <c r="R18" s="15">
        <v>7388481</v>
      </c>
      <c r="S18" s="15">
        <v>11297839</v>
      </c>
      <c r="T18" s="16">
        <v>188311857</v>
      </c>
      <c r="U18" s="15">
        <v>11545643</v>
      </c>
      <c r="V18" s="15">
        <v>13357975</v>
      </c>
      <c r="W18" s="15">
        <v>16728061</v>
      </c>
      <c r="X18" s="15">
        <v>12098788</v>
      </c>
      <c r="Y18" s="15">
        <v>18170646</v>
      </c>
      <c r="Z18" s="15">
        <v>15425413</v>
      </c>
      <c r="AA18" s="15">
        <v>10167964</v>
      </c>
      <c r="AB18" s="16">
        <v>97494490</v>
      </c>
      <c r="AC18" s="16">
        <v>285806347</v>
      </c>
      <c r="AD18" s="15">
        <v>3049604</v>
      </c>
      <c r="AE18" s="15">
        <v>3858631</v>
      </c>
      <c r="AF18" s="15">
        <v>3705769</v>
      </c>
      <c r="AG18" s="15">
        <v>5504008</v>
      </c>
      <c r="AH18" s="15">
        <v>2310838</v>
      </c>
      <c r="AI18" s="15">
        <v>4515172</v>
      </c>
      <c r="AJ18" s="15">
        <v>2936883</v>
      </c>
      <c r="AK18" s="16">
        <v>25880905</v>
      </c>
      <c r="AL18" s="16">
        <v>196486</v>
      </c>
      <c r="AM18" s="17">
        <v>311883738</v>
      </c>
      <c r="AN18" s="16">
        <v>235173264</v>
      </c>
      <c r="AO18" s="18">
        <v>0.32618705330381426</v>
      </c>
    </row>
    <row r="19" spans="1:41" x14ac:dyDescent="0.3">
      <c r="A19" s="13" t="s">
        <v>91</v>
      </c>
      <c r="B19" s="14">
        <v>46309</v>
      </c>
      <c r="C19" s="15">
        <v>4655688</v>
      </c>
      <c r="D19" s="15">
        <v>9605683</v>
      </c>
      <c r="E19" s="15">
        <v>23905165</v>
      </c>
      <c r="F19" s="15">
        <v>15265976</v>
      </c>
      <c r="G19" s="15">
        <v>6998593</v>
      </c>
      <c r="H19" s="15">
        <v>16305950</v>
      </c>
      <c r="I19" s="15">
        <v>11544894</v>
      </c>
      <c r="J19" s="15">
        <v>11144031</v>
      </c>
      <c r="K19" s="15">
        <v>12552860</v>
      </c>
      <c r="L19" s="15">
        <v>10613263</v>
      </c>
      <c r="M19" s="15">
        <v>17199779</v>
      </c>
      <c r="N19" s="15">
        <v>15427407</v>
      </c>
      <c r="O19" s="15">
        <v>13543749</v>
      </c>
      <c r="P19" s="15">
        <v>8894902</v>
      </c>
      <c r="Q19" s="15">
        <v>9650290</v>
      </c>
      <c r="R19" s="15">
        <v>10505553</v>
      </c>
      <c r="S19" s="15">
        <v>13106090</v>
      </c>
      <c r="T19" s="16">
        <v>210919873</v>
      </c>
      <c r="U19" s="15">
        <v>11254768</v>
      </c>
      <c r="V19" s="15">
        <v>17641023</v>
      </c>
      <c r="W19" s="15">
        <v>22755134</v>
      </c>
      <c r="X19" s="15">
        <v>12753173</v>
      </c>
      <c r="Y19" s="15">
        <v>17208286</v>
      </c>
      <c r="Z19" s="15">
        <v>23793267</v>
      </c>
      <c r="AA19" s="15">
        <v>12538195</v>
      </c>
      <c r="AB19" s="16">
        <v>117943846</v>
      </c>
      <c r="AC19" s="16">
        <v>328863719</v>
      </c>
      <c r="AD19" s="15">
        <v>3262786</v>
      </c>
      <c r="AE19" s="15">
        <v>3863142</v>
      </c>
      <c r="AF19" s="15">
        <v>4237800</v>
      </c>
      <c r="AG19" s="15">
        <v>5951960</v>
      </c>
      <c r="AH19" s="15">
        <v>1925975</v>
      </c>
      <c r="AI19" s="15">
        <v>4931836</v>
      </c>
      <c r="AJ19" s="15">
        <v>3529045</v>
      </c>
      <c r="AK19" s="16">
        <v>27702544</v>
      </c>
      <c r="AL19" s="16">
        <v>693853</v>
      </c>
      <c r="AM19" s="17">
        <v>357260116</v>
      </c>
      <c r="AN19" s="16">
        <v>270131611</v>
      </c>
      <c r="AO19" s="18">
        <v>0.32254094468048011</v>
      </c>
    </row>
    <row r="20" spans="1:41" x14ac:dyDescent="0.3">
      <c r="A20" s="13" t="s">
        <v>92</v>
      </c>
      <c r="B20" s="14">
        <v>46310</v>
      </c>
      <c r="C20" s="15">
        <v>4955779</v>
      </c>
      <c r="D20" s="15">
        <v>12527231</v>
      </c>
      <c r="E20" s="15">
        <v>29572311</v>
      </c>
      <c r="F20" s="15">
        <v>14713878</v>
      </c>
      <c r="G20" s="15">
        <v>6472702</v>
      </c>
      <c r="H20" s="15">
        <v>14395774</v>
      </c>
      <c r="I20" s="15">
        <v>11400093</v>
      </c>
      <c r="J20" s="15">
        <v>11129335</v>
      </c>
      <c r="K20" s="15">
        <v>15367071</v>
      </c>
      <c r="L20" s="15">
        <v>9161792</v>
      </c>
      <c r="M20" s="15">
        <v>17409703</v>
      </c>
      <c r="N20" s="15">
        <v>17457732</v>
      </c>
      <c r="O20" s="15">
        <v>14500725</v>
      </c>
      <c r="P20" s="15">
        <v>7367357</v>
      </c>
      <c r="Q20" s="15">
        <v>13643594</v>
      </c>
      <c r="R20" s="15">
        <v>7168841</v>
      </c>
      <c r="S20" s="15">
        <v>10878996</v>
      </c>
      <c r="T20" s="16">
        <v>218122914</v>
      </c>
      <c r="U20" s="15">
        <v>14809307</v>
      </c>
      <c r="V20" s="15">
        <v>19281057</v>
      </c>
      <c r="W20" s="15">
        <v>24893014</v>
      </c>
      <c r="X20" s="15">
        <v>17878969</v>
      </c>
      <c r="Y20" s="15">
        <v>16627310</v>
      </c>
      <c r="Z20" s="15">
        <v>24915066</v>
      </c>
      <c r="AA20" s="15">
        <v>15746913</v>
      </c>
      <c r="AB20" s="16">
        <v>134151636</v>
      </c>
      <c r="AC20" s="16">
        <v>352274550</v>
      </c>
      <c r="AD20" s="15">
        <v>3175417</v>
      </c>
      <c r="AE20" s="15">
        <v>4033690</v>
      </c>
      <c r="AF20" s="15">
        <v>4408889</v>
      </c>
      <c r="AG20" s="15">
        <v>6947359</v>
      </c>
      <c r="AH20" s="15">
        <v>2451291</v>
      </c>
      <c r="AI20" s="15">
        <v>5365668</v>
      </c>
      <c r="AJ20" s="15">
        <v>3391365</v>
      </c>
      <c r="AK20" s="16">
        <v>29773679</v>
      </c>
      <c r="AL20" s="16">
        <v>7461492</v>
      </c>
      <c r="AM20" s="17">
        <v>389509721</v>
      </c>
      <c r="AN20" s="16">
        <v>312605773</v>
      </c>
      <c r="AO20" s="18">
        <v>0.24600936592428191</v>
      </c>
    </row>
    <row r="21" spans="1:41" s="19" customFormat="1" ht="15.75" customHeight="1" x14ac:dyDescent="0.3">
      <c r="A21" s="13" t="s">
        <v>93</v>
      </c>
      <c r="B21" s="14">
        <v>46311</v>
      </c>
      <c r="C21" s="15">
        <v>5287638</v>
      </c>
      <c r="D21" s="15">
        <v>16687702</v>
      </c>
      <c r="E21" s="15">
        <v>34413644</v>
      </c>
      <c r="F21" s="15">
        <v>16305547</v>
      </c>
      <c r="G21" s="15">
        <v>8538239</v>
      </c>
      <c r="H21" s="15">
        <v>13485840</v>
      </c>
      <c r="I21" s="15">
        <v>13225255</v>
      </c>
      <c r="J21" s="15">
        <v>11636726</v>
      </c>
      <c r="K21" s="15">
        <v>15369428</v>
      </c>
      <c r="L21" s="15">
        <v>13064560</v>
      </c>
      <c r="M21" s="15">
        <v>24076333</v>
      </c>
      <c r="N21" s="15">
        <v>22634676</v>
      </c>
      <c r="O21" s="15">
        <v>18569235</v>
      </c>
      <c r="P21" s="15">
        <v>10986050</v>
      </c>
      <c r="Q21" s="15">
        <v>15016726</v>
      </c>
      <c r="R21" s="15">
        <v>12593428</v>
      </c>
      <c r="S21" s="15">
        <v>18155802</v>
      </c>
      <c r="T21" s="16">
        <v>270046829</v>
      </c>
      <c r="U21" s="15">
        <v>24222474</v>
      </c>
      <c r="V21" s="15">
        <v>28200235</v>
      </c>
      <c r="W21" s="15">
        <v>29808255</v>
      </c>
      <c r="X21" s="15">
        <v>25085135</v>
      </c>
      <c r="Y21" s="15">
        <v>21198102</v>
      </c>
      <c r="Z21" s="15">
        <v>31751769</v>
      </c>
      <c r="AA21" s="15">
        <v>21217921</v>
      </c>
      <c r="AB21" s="16">
        <v>181483891</v>
      </c>
      <c r="AC21" s="16">
        <v>451530720</v>
      </c>
      <c r="AD21" s="15">
        <v>4123067</v>
      </c>
      <c r="AE21" s="15">
        <v>4379481</v>
      </c>
      <c r="AF21" s="15">
        <v>5443670</v>
      </c>
      <c r="AG21" s="15">
        <v>7565830</v>
      </c>
      <c r="AH21" s="15">
        <v>2887951</v>
      </c>
      <c r="AI21" s="15">
        <v>6739669</v>
      </c>
      <c r="AJ21" s="15">
        <v>4078738</v>
      </c>
      <c r="AK21" s="16">
        <v>35218406</v>
      </c>
      <c r="AL21" s="16">
        <v>823735</v>
      </c>
      <c r="AM21" s="17">
        <v>487572861</v>
      </c>
      <c r="AN21" s="16">
        <v>356176232</v>
      </c>
      <c r="AO21" s="18">
        <v>0.36890903208836234</v>
      </c>
    </row>
    <row r="22" spans="1:41" s="19" customFormat="1" x14ac:dyDescent="0.3">
      <c r="A22" s="13" t="s">
        <v>94</v>
      </c>
      <c r="B22" s="14">
        <v>46312</v>
      </c>
      <c r="C22" s="15">
        <v>2245806</v>
      </c>
      <c r="D22" s="15">
        <v>23381289</v>
      </c>
      <c r="E22" s="15">
        <v>37949709</v>
      </c>
      <c r="F22" s="15">
        <v>21357284</v>
      </c>
      <c r="G22" s="15">
        <v>11265710</v>
      </c>
      <c r="H22" s="15">
        <v>18063482</v>
      </c>
      <c r="I22" s="15">
        <v>17353023</v>
      </c>
      <c r="J22" s="15">
        <v>7160024</v>
      </c>
      <c r="K22" s="15">
        <v>17767269</v>
      </c>
      <c r="L22" s="15">
        <v>16636161</v>
      </c>
      <c r="M22" s="15">
        <v>33187718</v>
      </c>
      <c r="N22" s="15">
        <v>27250376</v>
      </c>
      <c r="O22" s="15">
        <v>14969977</v>
      </c>
      <c r="P22" s="15">
        <v>19979352</v>
      </c>
      <c r="Q22" s="15">
        <v>20099091</v>
      </c>
      <c r="R22" s="15">
        <v>19203068</v>
      </c>
      <c r="S22" s="15">
        <v>26188463</v>
      </c>
      <c r="T22" s="16">
        <v>334057802</v>
      </c>
      <c r="U22" s="15">
        <v>33808046</v>
      </c>
      <c r="V22" s="15">
        <v>37680514</v>
      </c>
      <c r="W22" s="15">
        <v>37854361</v>
      </c>
      <c r="X22" s="15">
        <v>28790229</v>
      </c>
      <c r="Y22" s="15">
        <v>9688388</v>
      </c>
      <c r="Z22" s="15">
        <v>41379848</v>
      </c>
      <c r="AA22" s="15">
        <v>23644118</v>
      </c>
      <c r="AB22" s="16">
        <v>212845504</v>
      </c>
      <c r="AC22" s="16">
        <v>546903306</v>
      </c>
      <c r="AD22" s="15">
        <v>4653405</v>
      </c>
      <c r="AE22" s="15">
        <v>5390509</v>
      </c>
      <c r="AF22" s="15">
        <v>4394337</v>
      </c>
      <c r="AG22" s="15">
        <v>9568860</v>
      </c>
      <c r="AH22" s="15">
        <v>3131195</v>
      </c>
      <c r="AI22" s="15">
        <v>7167228</v>
      </c>
      <c r="AJ22" s="15">
        <v>4382230</v>
      </c>
      <c r="AK22" s="16">
        <v>38687764</v>
      </c>
      <c r="AL22" s="16">
        <v>0</v>
      </c>
      <c r="AM22" s="17">
        <v>585591070</v>
      </c>
      <c r="AN22" s="16">
        <v>444373855</v>
      </c>
      <c r="AO22" s="18">
        <v>0.31778920701804125</v>
      </c>
    </row>
    <row r="23" spans="1:41" x14ac:dyDescent="0.3">
      <c r="A23" s="13" t="s">
        <v>95</v>
      </c>
      <c r="B23" s="14">
        <v>46313</v>
      </c>
      <c r="C23" s="15">
        <v>-98704</v>
      </c>
      <c r="D23" s="15">
        <v>20119767</v>
      </c>
      <c r="E23" s="15">
        <v>34669061</v>
      </c>
      <c r="F23" s="15">
        <v>22534136</v>
      </c>
      <c r="G23" s="15">
        <v>15284315</v>
      </c>
      <c r="H23" s="15">
        <v>16789378</v>
      </c>
      <c r="I23" s="15">
        <v>14555385</v>
      </c>
      <c r="J23" s="15">
        <v>0</v>
      </c>
      <c r="K23" s="15">
        <v>16268195</v>
      </c>
      <c r="L23" s="15">
        <v>17433614</v>
      </c>
      <c r="M23" s="15">
        <v>28709315</v>
      </c>
      <c r="N23" s="15">
        <v>21602022</v>
      </c>
      <c r="O23" s="15">
        <v>13736308</v>
      </c>
      <c r="P23" s="15">
        <v>18586492</v>
      </c>
      <c r="Q23" s="15">
        <v>24211040</v>
      </c>
      <c r="R23" s="15">
        <v>20430732</v>
      </c>
      <c r="S23" s="15">
        <v>23535987</v>
      </c>
      <c r="T23" s="16">
        <v>308367043</v>
      </c>
      <c r="U23" s="15">
        <v>24842193</v>
      </c>
      <c r="V23" s="15">
        <v>30996666</v>
      </c>
      <c r="W23" s="15">
        <v>33613799</v>
      </c>
      <c r="X23" s="15">
        <v>26693340</v>
      </c>
      <c r="Y23" s="15">
        <v>14596521</v>
      </c>
      <c r="Z23" s="15">
        <v>34734683</v>
      </c>
      <c r="AA23" s="15">
        <v>20488427</v>
      </c>
      <c r="AB23" s="16">
        <v>185965629</v>
      </c>
      <c r="AC23" s="16">
        <v>494332672</v>
      </c>
      <c r="AD23" s="15">
        <v>4219791</v>
      </c>
      <c r="AE23" s="15">
        <v>4353189</v>
      </c>
      <c r="AF23" s="15">
        <v>3013338</v>
      </c>
      <c r="AG23" s="15">
        <v>8103859</v>
      </c>
      <c r="AH23" s="15">
        <v>3209966</v>
      </c>
      <c r="AI23" s="15">
        <v>7661689</v>
      </c>
      <c r="AJ23" s="15">
        <v>3358391</v>
      </c>
      <c r="AK23" s="16">
        <v>33920223</v>
      </c>
      <c r="AL23" s="16">
        <v>0</v>
      </c>
      <c r="AM23" s="17">
        <v>528252895</v>
      </c>
      <c r="AN23" s="16">
        <v>418675408</v>
      </c>
      <c r="AO23" s="18">
        <v>0.26172420186666412</v>
      </c>
    </row>
    <row r="24" spans="1:41" s="22" customFormat="1" x14ac:dyDescent="0.3">
      <c r="A24" s="20" t="s">
        <v>96</v>
      </c>
      <c r="B24" s="21"/>
      <c r="C24" s="22">
        <v>22112224</v>
      </c>
      <c r="D24" s="22">
        <v>106519244</v>
      </c>
      <c r="E24" s="22">
        <v>213317454</v>
      </c>
      <c r="F24" s="22">
        <v>117956191</v>
      </c>
      <c r="G24" s="22">
        <v>65264246</v>
      </c>
      <c r="H24" s="22">
        <v>98621731</v>
      </c>
      <c r="I24" s="22">
        <v>89563698</v>
      </c>
      <c r="J24" s="22">
        <v>50489164</v>
      </c>
      <c r="K24" s="22">
        <v>103226019</v>
      </c>
      <c r="L24" s="22">
        <v>92160705</v>
      </c>
      <c r="M24" s="22">
        <v>163857288</v>
      </c>
      <c r="N24" s="22">
        <v>136390782</v>
      </c>
      <c r="O24" s="22">
        <v>98721354</v>
      </c>
      <c r="P24" s="22">
        <v>87682767</v>
      </c>
      <c r="Q24" s="22">
        <v>109011744</v>
      </c>
      <c r="R24" s="22">
        <v>89984557</v>
      </c>
      <c r="S24" s="22">
        <v>123936500</v>
      </c>
      <c r="T24" s="23">
        <v>1768815668</v>
      </c>
      <c r="U24" s="22">
        <v>142344424</v>
      </c>
      <c r="V24" s="22">
        <v>176123677</v>
      </c>
      <c r="W24" s="22">
        <v>194525070</v>
      </c>
      <c r="X24" s="22">
        <v>145308243</v>
      </c>
      <c r="Y24" s="22">
        <v>105388373</v>
      </c>
      <c r="Z24" s="22">
        <v>202910700</v>
      </c>
      <c r="AA24" s="22">
        <v>116122477</v>
      </c>
      <c r="AB24" s="23">
        <v>1082722964</v>
      </c>
      <c r="AC24" s="23">
        <v>2851538632</v>
      </c>
      <c r="AD24" s="22">
        <v>26472586</v>
      </c>
      <c r="AE24" s="22">
        <v>29940602</v>
      </c>
      <c r="AF24" s="22">
        <v>28373151</v>
      </c>
      <c r="AG24" s="22">
        <v>50195397</v>
      </c>
      <c r="AH24" s="22">
        <v>18857789</v>
      </c>
      <c r="AI24" s="22">
        <v>42867831</v>
      </c>
      <c r="AJ24" s="22">
        <v>24425278</v>
      </c>
      <c r="AK24" s="23">
        <v>221132634</v>
      </c>
      <c r="AL24" s="23">
        <v>9175566</v>
      </c>
      <c r="AM24" s="24">
        <v>3081846832</v>
      </c>
      <c r="AN24" s="23">
        <v>2387356754</v>
      </c>
      <c r="AO24" s="18">
        <v>0.29090335025814085</v>
      </c>
    </row>
    <row r="25" spans="1:41" x14ac:dyDescent="0.3">
      <c r="A25" s="13" t="s">
        <v>97</v>
      </c>
      <c r="B25" s="14">
        <v>46314</v>
      </c>
      <c r="C25" s="15">
        <v>5063857</v>
      </c>
      <c r="D25" s="15">
        <v>9730307</v>
      </c>
      <c r="E25" s="15">
        <v>24757273</v>
      </c>
      <c r="F25" s="15">
        <v>11107684</v>
      </c>
      <c r="G25" s="15">
        <v>5094613</v>
      </c>
      <c r="H25" s="15">
        <v>11213609</v>
      </c>
      <c r="I25" s="15">
        <v>9037912</v>
      </c>
      <c r="J25" s="15">
        <v>6726761</v>
      </c>
      <c r="K25" s="15">
        <v>11428517</v>
      </c>
      <c r="L25" s="15">
        <v>8677359</v>
      </c>
      <c r="M25" s="15">
        <v>16335447</v>
      </c>
      <c r="N25" s="15">
        <v>15193683</v>
      </c>
      <c r="O25" s="15">
        <v>11695112</v>
      </c>
      <c r="P25" s="15">
        <v>8953692</v>
      </c>
      <c r="Q25" s="15">
        <v>11579537</v>
      </c>
      <c r="R25" s="15">
        <v>6253470</v>
      </c>
      <c r="S25" s="15">
        <v>10469134</v>
      </c>
      <c r="T25" s="16">
        <v>183317967</v>
      </c>
      <c r="U25" s="15">
        <v>13653998</v>
      </c>
      <c r="V25" s="15">
        <v>15651897</v>
      </c>
      <c r="W25" s="15">
        <v>17063053</v>
      </c>
      <c r="X25" s="15">
        <v>14325551</v>
      </c>
      <c r="Y25" s="15">
        <v>15766299</v>
      </c>
      <c r="Z25" s="15">
        <v>18595877</v>
      </c>
      <c r="AA25" s="15">
        <v>10501994</v>
      </c>
      <c r="AB25" s="16">
        <v>105558669</v>
      </c>
      <c r="AC25" s="16">
        <v>288876636</v>
      </c>
      <c r="AD25" s="15">
        <v>2822678</v>
      </c>
      <c r="AE25" s="15">
        <v>3672726</v>
      </c>
      <c r="AF25" s="15">
        <v>4256516</v>
      </c>
      <c r="AG25" s="15">
        <v>5577629</v>
      </c>
      <c r="AH25" s="15">
        <v>1938331</v>
      </c>
      <c r="AI25" s="15">
        <v>5249119</v>
      </c>
      <c r="AJ25" s="15">
        <v>3511192</v>
      </c>
      <c r="AK25" s="16">
        <v>27028191</v>
      </c>
      <c r="AL25" s="16">
        <v>0</v>
      </c>
      <c r="AM25" s="17">
        <v>315904827</v>
      </c>
      <c r="AN25" s="16">
        <v>236604917</v>
      </c>
      <c r="AO25" s="18">
        <v>0.33515748956307623</v>
      </c>
    </row>
    <row r="26" spans="1:41" s="19" customFormat="1" x14ac:dyDescent="0.3">
      <c r="A26" s="13" t="s">
        <v>98</v>
      </c>
      <c r="B26" s="14">
        <v>46315</v>
      </c>
      <c r="C26" s="15">
        <v>5655573</v>
      </c>
      <c r="D26" s="15">
        <v>9144513</v>
      </c>
      <c r="E26" s="15">
        <v>22062208</v>
      </c>
      <c r="F26" s="15">
        <v>12585182</v>
      </c>
      <c r="G26" s="15">
        <v>6365427</v>
      </c>
      <c r="H26" s="15">
        <v>13277095</v>
      </c>
      <c r="I26" s="15">
        <v>7775284</v>
      </c>
      <c r="J26" s="15">
        <v>9004786</v>
      </c>
      <c r="K26" s="15">
        <v>10627606</v>
      </c>
      <c r="L26" s="15">
        <v>9026064</v>
      </c>
      <c r="M26" s="15">
        <v>14979373</v>
      </c>
      <c r="N26" s="15">
        <v>12100324</v>
      </c>
      <c r="O26" s="15">
        <v>11139895</v>
      </c>
      <c r="P26" s="15">
        <v>8416689</v>
      </c>
      <c r="Q26" s="15">
        <v>10733589</v>
      </c>
      <c r="R26" s="15">
        <v>7064110</v>
      </c>
      <c r="S26" s="15">
        <v>9491900</v>
      </c>
      <c r="T26" s="16">
        <v>179449618</v>
      </c>
      <c r="U26" s="15">
        <v>14075208</v>
      </c>
      <c r="V26" s="15">
        <v>16107363</v>
      </c>
      <c r="W26" s="15">
        <v>21269628</v>
      </c>
      <c r="X26" s="15">
        <v>14004167</v>
      </c>
      <c r="Y26" s="15">
        <v>13710602</v>
      </c>
      <c r="Z26" s="15">
        <v>18140876</v>
      </c>
      <c r="AA26" s="15">
        <v>13458606</v>
      </c>
      <c r="AB26" s="16">
        <v>110766450</v>
      </c>
      <c r="AC26" s="16">
        <v>290216068</v>
      </c>
      <c r="AD26" s="15">
        <v>3206366</v>
      </c>
      <c r="AE26" s="15">
        <v>3518808</v>
      </c>
      <c r="AF26" s="15">
        <v>4202833</v>
      </c>
      <c r="AG26" s="15">
        <v>5149136</v>
      </c>
      <c r="AH26" s="15">
        <v>2386196</v>
      </c>
      <c r="AI26" s="15">
        <v>4932580</v>
      </c>
      <c r="AJ26" s="15">
        <v>3596490</v>
      </c>
      <c r="AK26" s="16">
        <v>26992409</v>
      </c>
      <c r="AL26" s="16">
        <v>-49074</v>
      </c>
      <c r="AM26" s="17">
        <v>317159403</v>
      </c>
      <c r="AN26" s="16">
        <v>252589721</v>
      </c>
      <c r="AO26" s="18">
        <v>0.25563067944479023</v>
      </c>
    </row>
    <row r="27" spans="1:41" x14ac:dyDescent="0.3">
      <c r="A27" s="13" t="s">
        <v>99</v>
      </c>
      <c r="B27" s="14">
        <v>46316</v>
      </c>
      <c r="C27" s="15">
        <v>4808533</v>
      </c>
      <c r="D27" s="15">
        <v>11879748</v>
      </c>
      <c r="E27" s="15">
        <v>29068069</v>
      </c>
      <c r="F27" s="15">
        <v>11703467</v>
      </c>
      <c r="G27" s="15">
        <v>5873655</v>
      </c>
      <c r="H27" s="15">
        <v>17754490</v>
      </c>
      <c r="I27" s="15">
        <v>11379370</v>
      </c>
      <c r="J27" s="15">
        <v>8235631</v>
      </c>
      <c r="K27" s="15">
        <v>14532265</v>
      </c>
      <c r="L27" s="15">
        <v>12142377</v>
      </c>
      <c r="M27" s="15">
        <v>18006222</v>
      </c>
      <c r="N27" s="15">
        <v>16243632</v>
      </c>
      <c r="O27" s="15">
        <v>15505190</v>
      </c>
      <c r="P27" s="15">
        <v>8596192</v>
      </c>
      <c r="Q27" s="15">
        <v>10089973</v>
      </c>
      <c r="R27" s="15">
        <v>10582661</v>
      </c>
      <c r="S27" s="15">
        <v>11343961</v>
      </c>
      <c r="T27" s="16">
        <v>217745436</v>
      </c>
      <c r="U27" s="15">
        <v>12847119</v>
      </c>
      <c r="V27" s="15">
        <v>17882083</v>
      </c>
      <c r="W27" s="15">
        <v>25353675</v>
      </c>
      <c r="X27" s="15">
        <v>15528978</v>
      </c>
      <c r="Y27" s="15">
        <v>18901157</v>
      </c>
      <c r="Z27" s="15">
        <v>26828189</v>
      </c>
      <c r="AA27" s="15">
        <v>15826344</v>
      </c>
      <c r="AB27" s="16">
        <v>133167545</v>
      </c>
      <c r="AC27" s="16">
        <v>350912981</v>
      </c>
      <c r="AD27" s="15">
        <v>3528813</v>
      </c>
      <c r="AE27" s="15">
        <v>3814321</v>
      </c>
      <c r="AF27" s="15">
        <v>4657145</v>
      </c>
      <c r="AG27" s="15">
        <v>5857375</v>
      </c>
      <c r="AH27" s="15">
        <v>2404423</v>
      </c>
      <c r="AI27" s="15">
        <v>4738336</v>
      </c>
      <c r="AJ27" s="15">
        <v>2915414</v>
      </c>
      <c r="AK27" s="16">
        <v>27915827</v>
      </c>
      <c r="AL27" s="16">
        <v>617763</v>
      </c>
      <c r="AM27" s="17">
        <v>379446571</v>
      </c>
      <c r="AN27" s="16">
        <v>264019422</v>
      </c>
      <c r="AO27" s="18">
        <v>0.43719188583027813</v>
      </c>
    </row>
    <row r="28" spans="1:41" x14ac:dyDescent="0.3">
      <c r="A28" s="13" t="s">
        <v>100</v>
      </c>
      <c r="B28" s="14">
        <v>46317</v>
      </c>
      <c r="C28" s="15">
        <v>4269275</v>
      </c>
      <c r="D28" s="15">
        <v>12017455</v>
      </c>
      <c r="E28" s="15">
        <v>25540237</v>
      </c>
      <c r="F28" s="15">
        <v>14391393</v>
      </c>
      <c r="G28" s="15">
        <v>7904474</v>
      </c>
      <c r="H28" s="15">
        <v>17794048</v>
      </c>
      <c r="I28" s="15">
        <v>8477367</v>
      </c>
      <c r="J28" s="15">
        <v>10535618</v>
      </c>
      <c r="K28" s="15">
        <v>13875785</v>
      </c>
      <c r="L28" s="15">
        <v>11003757</v>
      </c>
      <c r="M28" s="15">
        <v>17881926</v>
      </c>
      <c r="N28" s="15">
        <v>15444769</v>
      </c>
      <c r="O28" s="15">
        <v>16006427</v>
      </c>
      <c r="P28" s="15">
        <v>8319062</v>
      </c>
      <c r="Q28" s="15">
        <v>12831895</v>
      </c>
      <c r="R28" s="15">
        <v>10810970</v>
      </c>
      <c r="S28" s="15">
        <v>10305382</v>
      </c>
      <c r="T28" s="16">
        <v>217409840</v>
      </c>
      <c r="U28" s="15">
        <v>17975550</v>
      </c>
      <c r="V28" s="15">
        <v>20290590</v>
      </c>
      <c r="W28" s="15">
        <v>22659253</v>
      </c>
      <c r="X28" s="15">
        <v>21610810</v>
      </c>
      <c r="Y28" s="15">
        <v>18667175</v>
      </c>
      <c r="Z28" s="15">
        <v>24277074</v>
      </c>
      <c r="AA28" s="15">
        <v>18211739</v>
      </c>
      <c r="AB28" s="16">
        <v>143692191</v>
      </c>
      <c r="AC28" s="16">
        <v>361102031</v>
      </c>
      <c r="AD28" s="15">
        <v>3356873</v>
      </c>
      <c r="AE28" s="15">
        <v>3906020</v>
      </c>
      <c r="AF28" s="15">
        <v>4409600</v>
      </c>
      <c r="AG28" s="15">
        <v>6391795</v>
      </c>
      <c r="AH28" s="15">
        <v>2373839</v>
      </c>
      <c r="AI28" s="15">
        <v>5035038</v>
      </c>
      <c r="AJ28" s="15">
        <v>2940951</v>
      </c>
      <c r="AK28" s="16">
        <v>28414116</v>
      </c>
      <c r="AL28" s="16">
        <v>141265</v>
      </c>
      <c r="AM28" s="17">
        <v>389657412</v>
      </c>
      <c r="AN28" s="16">
        <v>282891967</v>
      </c>
      <c r="AO28" s="18">
        <v>0.37740712870789994</v>
      </c>
    </row>
    <row r="29" spans="1:41" x14ac:dyDescent="0.3">
      <c r="A29" s="13" t="s">
        <v>101</v>
      </c>
      <c r="B29" s="14">
        <v>46318</v>
      </c>
      <c r="C29" s="15">
        <v>3893073</v>
      </c>
      <c r="D29" s="15">
        <v>15690718</v>
      </c>
      <c r="E29" s="15">
        <v>33162884</v>
      </c>
      <c r="F29" s="15">
        <v>16182598</v>
      </c>
      <c r="G29" s="15">
        <v>10097694</v>
      </c>
      <c r="H29" s="15">
        <v>14969816</v>
      </c>
      <c r="I29" s="15">
        <v>11829452</v>
      </c>
      <c r="J29" s="15">
        <v>10961937</v>
      </c>
      <c r="K29" s="15">
        <v>18629588</v>
      </c>
      <c r="L29" s="15">
        <v>15632388</v>
      </c>
      <c r="M29" s="15">
        <v>21897102</v>
      </c>
      <c r="N29" s="15">
        <v>19501305</v>
      </c>
      <c r="O29" s="15">
        <v>14996798</v>
      </c>
      <c r="P29" s="15">
        <v>9632976</v>
      </c>
      <c r="Q29" s="15">
        <v>16374013</v>
      </c>
      <c r="R29" s="15">
        <v>12424307</v>
      </c>
      <c r="S29" s="15">
        <v>17233340</v>
      </c>
      <c r="T29" s="16">
        <v>263109989</v>
      </c>
      <c r="U29" s="15">
        <v>22776016</v>
      </c>
      <c r="V29" s="15">
        <v>26415614</v>
      </c>
      <c r="W29" s="15">
        <v>28040694</v>
      </c>
      <c r="X29" s="15">
        <v>22660601</v>
      </c>
      <c r="Y29" s="15">
        <v>22373819</v>
      </c>
      <c r="Z29" s="15">
        <v>33100897</v>
      </c>
      <c r="AA29" s="15">
        <v>20711664</v>
      </c>
      <c r="AB29" s="16">
        <v>176079305</v>
      </c>
      <c r="AC29" s="16">
        <v>439189294</v>
      </c>
      <c r="AD29" s="15">
        <v>4495510</v>
      </c>
      <c r="AE29" s="15">
        <v>4945054</v>
      </c>
      <c r="AF29" s="15">
        <v>4264961</v>
      </c>
      <c r="AG29" s="15">
        <v>5957361</v>
      </c>
      <c r="AH29" s="15">
        <v>2579671</v>
      </c>
      <c r="AI29" s="15">
        <v>6560083</v>
      </c>
      <c r="AJ29" s="15">
        <v>3991144</v>
      </c>
      <c r="AK29" s="16">
        <v>32793784</v>
      </c>
      <c r="AL29" s="16">
        <v>1393991</v>
      </c>
      <c r="AM29" s="17">
        <v>473377069</v>
      </c>
      <c r="AN29" s="16">
        <v>339428566</v>
      </c>
      <c r="AO29" s="18">
        <v>0.39462943434171649</v>
      </c>
    </row>
    <row r="30" spans="1:41" s="19" customFormat="1" x14ac:dyDescent="0.3">
      <c r="A30" s="13" t="s">
        <v>102</v>
      </c>
      <c r="B30" s="14">
        <v>46319</v>
      </c>
      <c r="C30" s="15">
        <v>3468678</v>
      </c>
      <c r="D30" s="15">
        <v>21687876</v>
      </c>
      <c r="E30" s="15">
        <v>38991140</v>
      </c>
      <c r="F30" s="15">
        <v>22225860</v>
      </c>
      <c r="G30" s="15">
        <v>12764808</v>
      </c>
      <c r="H30" s="15">
        <v>13098097</v>
      </c>
      <c r="I30" s="15">
        <v>15766923</v>
      </c>
      <c r="J30" s="15">
        <v>5679817</v>
      </c>
      <c r="K30" s="15">
        <v>23046612</v>
      </c>
      <c r="L30" s="15">
        <v>16865912</v>
      </c>
      <c r="M30" s="15">
        <v>31787730</v>
      </c>
      <c r="N30" s="15">
        <v>26729895</v>
      </c>
      <c r="O30" s="15">
        <v>13979967</v>
      </c>
      <c r="P30" s="15">
        <v>15852628</v>
      </c>
      <c r="Q30" s="15">
        <v>21435891</v>
      </c>
      <c r="R30" s="15">
        <v>18578389</v>
      </c>
      <c r="S30" s="15">
        <v>23375205</v>
      </c>
      <c r="T30" s="16">
        <v>325335428</v>
      </c>
      <c r="U30" s="15">
        <v>32092511</v>
      </c>
      <c r="V30" s="15">
        <v>36775776</v>
      </c>
      <c r="W30" s="15">
        <v>36078385</v>
      </c>
      <c r="X30" s="15">
        <v>29718193</v>
      </c>
      <c r="Y30" s="15">
        <v>12460869</v>
      </c>
      <c r="Z30" s="15">
        <v>38005498</v>
      </c>
      <c r="AA30" s="15">
        <v>24483517</v>
      </c>
      <c r="AB30" s="16">
        <v>209614749</v>
      </c>
      <c r="AC30" s="16">
        <v>534950177</v>
      </c>
      <c r="AD30" s="15">
        <v>6202407</v>
      </c>
      <c r="AE30" s="15">
        <v>5979004</v>
      </c>
      <c r="AF30" s="15">
        <v>3711204</v>
      </c>
      <c r="AG30" s="15">
        <v>8900116</v>
      </c>
      <c r="AH30" s="15">
        <v>3366875</v>
      </c>
      <c r="AI30" s="15">
        <v>7545302</v>
      </c>
      <c r="AJ30" s="15">
        <v>3708193</v>
      </c>
      <c r="AK30" s="16">
        <v>39413101</v>
      </c>
      <c r="AL30" s="16">
        <v>0</v>
      </c>
      <c r="AM30" s="17">
        <v>574363278</v>
      </c>
      <c r="AN30" s="16">
        <v>447016202</v>
      </c>
      <c r="AO30" s="18">
        <v>0.28488246159811448</v>
      </c>
    </row>
    <row r="31" spans="1:41" x14ac:dyDescent="0.3">
      <c r="A31" s="13" t="s">
        <v>103</v>
      </c>
      <c r="B31" s="14">
        <v>46320</v>
      </c>
      <c r="C31" s="15">
        <v>0</v>
      </c>
      <c r="D31" s="15">
        <v>19767428</v>
      </c>
      <c r="E31" s="15">
        <v>36384656</v>
      </c>
      <c r="F31" s="15">
        <v>21153670</v>
      </c>
      <c r="G31" s="15">
        <v>12575256</v>
      </c>
      <c r="H31" s="15">
        <v>14164166</v>
      </c>
      <c r="I31" s="15">
        <v>17051765</v>
      </c>
      <c r="J31" s="15">
        <v>0</v>
      </c>
      <c r="K31" s="15">
        <v>19884877</v>
      </c>
      <c r="L31" s="15">
        <v>20493978</v>
      </c>
      <c r="M31" s="15">
        <v>28920488</v>
      </c>
      <c r="N31" s="15">
        <v>23111412</v>
      </c>
      <c r="O31" s="15">
        <v>17053614</v>
      </c>
      <c r="P31" s="15">
        <v>19718580</v>
      </c>
      <c r="Q31" s="15">
        <v>18918928</v>
      </c>
      <c r="R31" s="15">
        <v>17444787</v>
      </c>
      <c r="S31" s="15">
        <v>20384913</v>
      </c>
      <c r="T31" s="16">
        <v>307028518</v>
      </c>
      <c r="U31" s="15">
        <v>23443049</v>
      </c>
      <c r="V31" s="15">
        <v>30514019</v>
      </c>
      <c r="W31" s="15">
        <v>33672211</v>
      </c>
      <c r="X31" s="15">
        <v>26065780</v>
      </c>
      <c r="Y31" s="15">
        <v>10740419</v>
      </c>
      <c r="Z31" s="15">
        <v>32772335</v>
      </c>
      <c r="AA31" s="15">
        <v>22828936</v>
      </c>
      <c r="AB31" s="16">
        <v>180036749</v>
      </c>
      <c r="AC31" s="16">
        <v>487065267</v>
      </c>
      <c r="AD31" s="15">
        <v>4149720</v>
      </c>
      <c r="AE31" s="15">
        <v>4895771</v>
      </c>
      <c r="AF31" s="15">
        <v>3149816</v>
      </c>
      <c r="AG31" s="15">
        <v>7613548</v>
      </c>
      <c r="AH31" s="15">
        <v>3687117</v>
      </c>
      <c r="AI31" s="15">
        <v>7384605</v>
      </c>
      <c r="AJ31" s="15">
        <v>2832790</v>
      </c>
      <c r="AK31" s="16">
        <v>33713367</v>
      </c>
      <c r="AL31" s="16">
        <v>0</v>
      </c>
      <c r="AM31" s="17">
        <v>520778634</v>
      </c>
      <c r="AN31" s="16">
        <v>397844545</v>
      </c>
      <c r="AO31" s="18">
        <v>0.30900031317508692</v>
      </c>
    </row>
    <row r="32" spans="1:41" s="22" customFormat="1" x14ac:dyDescent="0.3">
      <c r="A32" s="20" t="s">
        <v>104</v>
      </c>
      <c r="B32" s="21"/>
      <c r="C32" s="22">
        <v>27158989</v>
      </c>
      <c r="D32" s="22">
        <v>99918045</v>
      </c>
      <c r="E32" s="22">
        <v>209966467</v>
      </c>
      <c r="F32" s="22">
        <v>109349854</v>
      </c>
      <c r="G32" s="22">
        <v>60675927</v>
      </c>
      <c r="H32" s="22">
        <v>102271321</v>
      </c>
      <c r="I32" s="22">
        <v>81318073</v>
      </c>
      <c r="J32" s="22">
        <v>51144550</v>
      </c>
      <c r="K32" s="22">
        <v>112025250</v>
      </c>
      <c r="L32" s="22">
        <v>93841835</v>
      </c>
      <c r="M32" s="22">
        <v>149808288</v>
      </c>
      <c r="N32" s="22">
        <v>128325020</v>
      </c>
      <c r="O32" s="22">
        <v>100377003</v>
      </c>
      <c r="P32" s="22">
        <v>79489819</v>
      </c>
      <c r="Q32" s="22">
        <v>101963826</v>
      </c>
      <c r="R32" s="22">
        <v>83158694</v>
      </c>
      <c r="S32" s="22">
        <v>102603835</v>
      </c>
      <c r="T32" s="23">
        <v>1693396796</v>
      </c>
      <c r="U32" s="22">
        <v>136863451</v>
      </c>
      <c r="V32" s="22">
        <v>163637342</v>
      </c>
      <c r="W32" s="22">
        <v>184136899</v>
      </c>
      <c r="X32" s="22">
        <v>143914080</v>
      </c>
      <c r="Y32" s="22">
        <v>112620340</v>
      </c>
      <c r="Z32" s="22">
        <v>191720746</v>
      </c>
      <c r="AA32" s="22">
        <v>126022800</v>
      </c>
      <c r="AB32" s="23">
        <v>1058915658</v>
      </c>
      <c r="AC32" s="23">
        <v>2752312454</v>
      </c>
      <c r="AD32" s="22">
        <v>27762367</v>
      </c>
      <c r="AE32" s="22">
        <v>30731704</v>
      </c>
      <c r="AF32" s="22">
        <v>28652075</v>
      </c>
      <c r="AG32" s="22">
        <v>45446960</v>
      </c>
      <c r="AH32" s="22">
        <v>18736452</v>
      </c>
      <c r="AI32" s="22">
        <v>41445063</v>
      </c>
      <c r="AJ32" s="22">
        <v>23496174</v>
      </c>
      <c r="AK32" s="23">
        <v>216270795</v>
      </c>
      <c r="AL32" s="23">
        <v>2103945</v>
      </c>
      <c r="AM32" s="24">
        <v>2970687194</v>
      </c>
      <c r="AN32" s="25">
        <v>2220395340</v>
      </c>
      <c r="AO32" s="18">
        <v>0.3379091283807143</v>
      </c>
    </row>
    <row r="33" spans="1:42" x14ac:dyDescent="0.3">
      <c r="A33" s="13" t="s">
        <v>105</v>
      </c>
      <c r="B33" s="14">
        <v>46321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6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6">
        <v>0</v>
      </c>
      <c r="AC33" s="16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6">
        <v>0</v>
      </c>
      <c r="AL33" s="16">
        <v>0</v>
      </c>
      <c r="AM33" s="17">
        <v>0</v>
      </c>
      <c r="AN33" s="16">
        <v>245245443</v>
      </c>
      <c r="AO33" s="18">
        <v>-1</v>
      </c>
    </row>
    <row r="34" spans="1:42" s="19" customFormat="1" x14ac:dyDescent="0.3">
      <c r="A34" s="13" t="s">
        <v>106</v>
      </c>
      <c r="B34" s="14">
        <v>46322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6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6">
        <v>0</v>
      </c>
      <c r="AC34" s="16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6">
        <v>0</v>
      </c>
      <c r="AL34" s="16">
        <v>0</v>
      </c>
      <c r="AM34" s="17">
        <v>0</v>
      </c>
      <c r="AN34" s="16">
        <v>249394806</v>
      </c>
      <c r="AO34" s="18">
        <v>-1</v>
      </c>
    </row>
    <row r="35" spans="1:42" s="19" customFormat="1" x14ac:dyDescent="0.3">
      <c r="A35" s="13" t="s">
        <v>107</v>
      </c>
      <c r="B35" s="14">
        <v>46323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6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6">
        <v>0</v>
      </c>
      <c r="AC35" s="16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6">
        <v>0</v>
      </c>
      <c r="AL35" s="16">
        <v>0</v>
      </c>
      <c r="AM35" s="17">
        <v>0</v>
      </c>
      <c r="AN35" s="16">
        <v>274493512</v>
      </c>
      <c r="AO35" s="18">
        <v>-1</v>
      </c>
      <c r="AP35" s="26"/>
    </row>
    <row r="36" spans="1:42" s="19" customFormat="1" x14ac:dyDescent="0.3">
      <c r="A36" s="13" t="s">
        <v>108</v>
      </c>
      <c r="B36" s="14">
        <v>46324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6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6">
        <v>0</v>
      </c>
      <c r="AC36" s="16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6">
        <v>0</v>
      </c>
      <c r="AL36" s="16">
        <v>0</v>
      </c>
      <c r="AM36" s="17">
        <v>0</v>
      </c>
      <c r="AN36" s="16">
        <v>304987757</v>
      </c>
      <c r="AO36" s="18">
        <v>-1</v>
      </c>
      <c r="AP36" s="26"/>
    </row>
    <row r="37" spans="1:42" s="19" customFormat="1" x14ac:dyDescent="0.3">
      <c r="A37" s="13" t="s">
        <v>109</v>
      </c>
      <c r="B37" s="14">
        <v>46325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6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6">
        <v>0</v>
      </c>
      <c r="AC37" s="16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6">
        <v>0</v>
      </c>
      <c r="AL37" s="16">
        <v>0</v>
      </c>
      <c r="AM37" s="17">
        <v>0</v>
      </c>
      <c r="AN37" s="16">
        <v>391312464</v>
      </c>
      <c r="AO37" s="18">
        <v>-1</v>
      </c>
      <c r="AP37" s="26"/>
    </row>
    <row r="38" spans="1:42" s="19" customFormat="1" x14ac:dyDescent="0.3">
      <c r="A38" s="13" t="s">
        <v>110</v>
      </c>
      <c r="B38" s="14">
        <v>46326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6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6">
        <v>0</v>
      </c>
      <c r="AC38" s="16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6">
        <v>0</v>
      </c>
      <c r="AL38" s="16">
        <v>0</v>
      </c>
      <c r="AM38" s="17">
        <v>0</v>
      </c>
      <c r="AN38" s="16">
        <v>0</v>
      </c>
      <c r="AO38" s="18">
        <v>0</v>
      </c>
      <c r="AP38" s="26"/>
    </row>
    <row r="39" spans="1:42" s="22" customFormat="1" x14ac:dyDescent="0.3">
      <c r="A39" s="20" t="s">
        <v>111</v>
      </c>
      <c r="B39" s="21"/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3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3">
        <v>0</v>
      </c>
      <c r="AC39" s="23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3">
        <v>0</v>
      </c>
      <c r="AL39" s="23">
        <v>0</v>
      </c>
      <c r="AM39" s="24">
        <v>0</v>
      </c>
      <c r="AN39" s="25">
        <v>1465433982</v>
      </c>
      <c r="AO39" s="18">
        <v>-1</v>
      </c>
    </row>
    <row r="40" spans="1:42" ht="15" thickBot="1" x14ac:dyDescent="0.35">
      <c r="A40" s="27" t="s">
        <v>112</v>
      </c>
      <c r="B40" s="27"/>
      <c r="C40" s="28">
        <v>91731841</v>
      </c>
      <c r="D40" s="28">
        <v>384064061</v>
      </c>
      <c r="E40" s="28">
        <v>768351667</v>
      </c>
      <c r="F40" s="28">
        <v>426716782</v>
      </c>
      <c r="G40" s="28">
        <v>246490175</v>
      </c>
      <c r="H40" s="28">
        <v>354434418</v>
      </c>
      <c r="I40" s="28">
        <v>307845723</v>
      </c>
      <c r="J40" s="28">
        <v>184175754</v>
      </c>
      <c r="K40" s="28">
        <v>396135401</v>
      </c>
      <c r="L40" s="28">
        <v>324671836</v>
      </c>
      <c r="M40" s="28">
        <v>582925411</v>
      </c>
      <c r="N40" s="28">
        <v>485164531</v>
      </c>
      <c r="O40" s="28">
        <v>353385764</v>
      </c>
      <c r="P40" s="28">
        <v>309093082</v>
      </c>
      <c r="Q40" s="28">
        <v>386666950</v>
      </c>
      <c r="R40" s="28">
        <v>320995219</v>
      </c>
      <c r="S40" s="28">
        <v>429143293</v>
      </c>
      <c r="T40" s="29">
        <v>6351991908</v>
      </c>
      <c r="U40" s="28">
        <v>529580330</v>
      </c>
      <c r="V40" s="28">
        <v>629217203</v>
      </c>
      <c r="W40" s="28">
        <v>689608177</v>
      </c>
      <c r="X40" s="28">
        <v>535792193</v>
      </c>
      <c r="Y40" s="28">
        <v>376156822</v>
      </c>
      <c r="Z40" s="28">
        <v>738490216</v>
      </c>
      <c r="AA40" s="28">
        <v>438539480</v>
      </c>
      <c r="AB40" s="29">
        <v>3937384421</v>
      </c>
      <c r="AC40" s="29">
        <v>10289376329</v>
      </c>
      <c r="AD40" s="28">
        <v>98491848</v>
      </c>
      <c r="AE40" s="28">
        <v>109071873</v>
      </c>
      <c r="AF40" s="28">
        <v>97908915</v>
      </c>
      <c r="AG40" s="28">
        <v>178386694</v>
      </c>
      <c r="AH40" s="28">
        <v>68017150</v>
      </c>
      <c r="AI40" s="28">
        <v>153731327</v>
      </c>
      <c r="AJ40" s="28">
        <v>87802228</v>
      </c>
      <c r="AK40" s="29">
        <v>793410035</v>
      </c>
      <c r="AL40" s="29">
        <v>6364530</v>
      </c>
      <c r="AM40" s="30">
        <v>11089150894</v>
      </c>
      <c r="AN40" s="31">
        <v>10211466830</v>
      </c>
      <c r="AO40" s="32">
        <v>8.5950831414491224E-2</v>
      </c>
    </row>
    <row r="41" spans="1:42" ht="15.6" thickTop="1" thickBot="1" x14ac:dyDescent="0.35">
      <c r="A41" s="19" t="s">
        <v>113</v>
      </c>
      <c r="B41" s="33"/>
      <c r="C41" s="34">
        <v>131000000</v>
      </c>
      <c r="D41" s="34">
        <v>474000000</v>
      </c>
      <c r="E41" s="34">
        <v>922000000</v>
      </c>
      <c r="F41" s="34">
        <v>559000000</v>
      </c>
      <c r="G41" s="34">
        <v>315000000</v>
      </c>
      <c r="H41" s="34">
        <v>511000000</v>
      </c>
      <c r="I41" s="34">
        <v>400000000</v>
      </c>
      <c r="J41" s="34">
        <v>285000000</v>
      </c>
      <c r="K41" s="34">
        <v>480000000</v>
      </c>
      <c r="L41" s="34">
        <v>397000000</v>
      </c>
      <c r="M41" s="34">
        <v>735000000</v>
      </c>
      <c r="N41" s="34">
        <v>600000000</v>
      </c>
      <c r="O41" s="34">
        <v>460000000</v>
      </c>
      <c r="P41" s="34">
        <v>382000000</v>
      </c>
      <c r="Q41" s="34">
        <v>457000000</v>
      </c>
      <c r="R41" s="34">
        <v>411000000</v>
      </c>
      <c r="S41" s="34">
        <v>575000000</v>
      </c>
      <c r="T41" s="35">
        <v>8094000000</v>
      </c>
      <c r="U41" s="34">
        <v>637000000</v>
      </c>
      <c r="V41" s="34">
        <v>769000000</v>
      </c>
      <c r="W41" s="34">
        <v>839000000</v>
      </c>
      <c r="X41" s="34">
        <v>652000000</v>
      </c>
      <c r="Y41" s="34">
        <v>484000000</v>
      </c>
      <c r="Z41" s="34">
        <v>927000000</v>
      </c>
      <c r="AA41" s="34">
        <v>570000000</v>
      </c>
      <c r="AB41" s="35">
        <v>4878000000</v>
      </c>
      <c r="AC41" s="35">
        <v>12972000000</v>
      </c>
      <c r="AD41" s="34">
        <v>124000000</v>
      </c>
      <c r="AE41" s="34">
        <v>142000000</v>
      </c>
      <c r="AF41" s="34">
        <v>115000000</v>
      </c>
      <c r="AG41" s="34">
        <v>218000000</v>
      </c>
      <c r="AH41" s="34">
        <v>82000000</v>
      </c>
      <c r="AI41" s="34">
        <v>195000000</v>
      </c>
      <c r="AJ41" s="34">
        <v>103000000</v>
      </c>
      <c r="AK41" s="35">
        <v>979000000</v>
      </c>
      <c r="AL41" s="35">
        <v>0</v>
      </c>
      <c r="AM41" s="36">
        <v>13951000000</v>
      </c>
      <c r="AN41" s="37">
        <v>9968000000</v>
      </c>
      <c r="AO41" s="32">
        <v>0.39957865168539319</v>
      </c>
      <c r="AP41" s="38"/>
    </row>
    <row r="42" spans="1:42" ht="15" thickTop="1" x14ac:dyDescent="0.3">
      <c r="A42" s="19" t="s">
        <v>114</v>
      </c>
      <c r="B42" s="33"/>
      <c r="C42" s="39">
        <v>-39268159</v>
      </c>
      <c r="D42" s="39">
        <v>-89935939</v>
      </c>
      <c r="E42" s="39">
        <v>-153648333</v>
      </c>
      <c r="F42" s="39">
        <v>-132283218</v>
      </c>
      <c r="G42" s="39">
        <v>-68509825</v>
      </c>
      <c r="H42" s="39">
        <v>-156565582</v>
      </c>
      <c r="I42" s="39">
        <v>-92154277</v>
      </c>
      <c r="J42" s="39">
        <v>-100824246</v>
      </c>
      <c r="K42" s="39">
        <v>-83864599</v>
      </c>
      <c r="L42" s="39">
        <v>-72328164</v>
      </c>
      <c r="M42" s="39">
        <v>-152074589</v>
      </c>
      <c r="N42" s="39">
        <v>-114835469</v>
      </c>
      <c r="O42" s="39">
        <v>-106614236</v>
      </c>
      <c r="P42" s="39">
        <v>-72906918</v>
      </c>
      <c r="Q42" s="39">
        <v>-70333050</v>
      </c>
      <c r="R42" s="39">
        <v>-90004781</v>
      </c>
      <c r="S42" s="39">
        <v>-145856707</v>
      </c>
      <c r="T42" s="40">
        <v>-1742008092</v>
      </c>
      <c r="U42" s="39">
        <v>-107419670</v>
      </c>
      <c r="V42" s="39">
        <v>-139782797</v>
      </c>
      <c r="W42" s="39">
        <v>-149391823</v>
      </c>
      <c r="X42" s="39">
        <v>-116207807</v>
      </c>
      <c r="Y42" s="39">
        <v>-107843178</v>
      </c>
      <c r="Z42" s="39">
        <v>-188509784</v>
      </c>
      <c r="AA42" s="39">
        <v>-131460520</v>
      </c>
      <c r="AB42" s="40">
        <v>-940615579</v>
      </c>
      <c r="AC42" s="40">
        <v>-2682623671</v>
      </c>
      <c r="AD42" s="39">
        <v>-25508152</v>
      </c>
      <c r="AE42" s="39">
        <v>-32928127</v>
      </c>
      <c r="AF42" s="39">
        <v>-17091085</v>
      </c>
      <c r="AG42" s="39">
        <v>-39613306</v>
      </c>
      <c r="AH42" s="39">
        <v>-13982850</v>
      </c>
      <c r="AI42" s="39">
        <v>-41268673</v>
      </c>
      <c r="AJ42" s="39">
        <v>-15197772</v>
      </c>
      <c r="AK42" s="40">
        <v>-185589965</v>
      </c>
      <c r="AL42" s="40">
        <v>6364530</v>
      </c>
      <c r="AM42" s="41">
        <v>-2861849106</v>
      </c>
      <c r="AN42" s="40">
        <v>243466830</v>
      </c>
      <c r="AO42" s="42">
        <v>0</v>
      </c>
    </row>
    <row r="43" spans="1:42" x14ac:dyDescent="0.3">
      <c r="A43" s="19" t="s">
        <v>115</v>
      </c>
      <c r="B43" s="43"/>
      <c r="C43" s="44">
        <v>0.70024306106870227</v>
      </c>
      <c r="D43" s="44">
        <v>0.81026173206751051</v>
      </c>
      <c r="E43" s="44">
        <v>0.83335321800433837</v>
      </c>
      <c r="F43" s="44">
        <v>0.76335739177101969</v>
      </c>
      <c r="G43" s="44">
        <v>0.78250849206349204</v>
      </c>
      <c r="H43" s="44">
        <v>0.6936094285714286</v>
      </c>
      <c r="I43" s="44">
        <v>0.76961430750000004</v>
      </c>
      <c r="J43" s="44">
        <v>0.64623071578947366</v>
      </c>
      <c r="K43" s="44">
        <v>0.8252820854166667</v>
      </c>
      <c r="L43" s="44">
        <v>0.8178131889168766</v>
      </c>
      <c r="M43" s="44">
        <v>0.79309579727891155</v>
      </c>
      <c r="N43" s="44">
        <v>0.80860755166666665</v>
      </c>
      <c r="O43" s="44">
        <v>0.76822992173913041</v>
      </c>
      <c r="P43" s="44">
        <v>0.80914419371727753</v>
      </c>
      <c r="Q43" s="44">
        <v>0.84609835886214446</v>
      </c>
      <c r="R43" s="44">
        <v>0.7810102652068126</v>
      </c>
      <c r="S43" s="44">
        <v>0.74633616173913042</v>
      </c>
      <c r="T43" s="45">
        <v>0.78477784877687173</v>
      </c>
      <c r="U43" s="44">
        <v>0.83136629513343796</v>
      </c>
      <c r="V43" s="44">
        <v>0.81822783224967488</v>
      </c>
      <c r="W43" s="44">
        <v>0.82194061620977354</v>
      </c>
      <c r="X43" s="44">
        <v>0.82176716717791409</v>
      </c>
      <c r="Y43" s="44">
        <v>0.77718351652892559</v>
      </c>
      <c r="Z43" s="44">
        <v>0.79664532470334415</v>
      </c>
      <c r="AA43" s="44">
        <v>0.76936750877192983</v>
      </c>
      <c r="AB43" s="45">
        <v>0.80717187802378021</v>
      </c>
      <c r="AC43" s="45">
        <v>0.79319891527906261</v>
      </c>
      <c r="AD43" s="44">
        <v>0.79428909677419357</v>
      </c>
      <c r="AE43" s="44">
        <v>0.76811178169014083</v>
      </c>
      <c r="AF43" s="44">
        <v>0.85138186956521744</v>
      </c>
      <c r="AG43" s="44">
        <v>0.81828758715596328</v>
      </c>
      <c r="AH43" s="44">
        <v>0.8294774390243902</v>
      </c>
      <c r="AI43" s="44">
        <v>0.78836577948717945</v>
      </c>
      <c r="AJ43" s="44">
        <v>0.85244881553398055</v>
      </c>
      <c r="AK43" s="45">
        <v>0.81042904494382018</v>
      </c>
      <c r="AL43" s="45">
        <v>0</v>
      </c>
      <c r="AM43" s="46">
        <v>0.79486423152462193</v>
      </c>
      <c r="AN43" s="45">
        <v>1.0244248424959872</v>
      </c>
      <c r="AO43" s="45">
        <v>0</v>
      </c>
    </row>
    <row r="44" spans="1:42" s="53" customFormat="1" ht="15" thickBot="1" x14ac:dyDescent="0.35">
      <c r="A44" s="47" t="s">
        <v>116</v>
      </c>
      <c r="B44" s="48"/>
      <c r="C44" s="49">
        <v>113747482.84</v>
      </c>
      <c r="D44" s="49">
        <v>476239435.63999999</v>
      </c>
      <c r="E44" s="49">
        <v>952756067.08000004</v>
      </c>
      <c r="F44" s="49">
        <v>529128809.68000007</v>
      </c>
      <c r="G44" s="49">
        <v>305647817</v>
      </c>
      <c r="H44" s="49">
        <v>439498678.31999999</v>
      </c>
      <c r="I44" s="49">
        <v>381728696.51999998</v>
      </c>
      <c r="J44" s="49">
        <v>228377934.96000001</v>
      </c>
      <c r="K44" s="49">
        <v>491207897.23999995</v>
      </c>
      <c r="L44" s="49">
        <v>402593076.63999999</v>
      </c>
      <c r="M44" s="49">
        <v>722827509.63999999</v>
      </c>
      <c r="N44" s="49">
        <v>601604018.43999994</v>
      </c>
      <c r="O44" s="49">
        <v>438198347.36000001</v>
      </c>
      <c r="P44" s="49">
        <v>383275421.68000001</v>
      </c>
      <c r="Q44" s="49">
        <v>479467018</v>
      </c>
      <c r="R44" s="49">
        <v>398034071.56</v>
      </c>
      <c r="S44" s="49">
        <v>532137683.31999993</v>
      </c>
      <c r="T44" s="37">
        <v>7876469965.9200001</v>
      </c>
      <c r="U44" s="49">
        <v>656679609.19999993</v>
      </c>
      <c r="V44" s="49">
        <v>780229331.72000003</v>
      </c>
      <c r="W44" s="49">
        <v>855114139.4799999</v>
      </c>
      <c r="X44" s="49">
        <v>664382319.31999993</v>
      </c>
      <c r="Y44" s="49">
        <v>466434459.28000003</v>
      </c>
      <c r="Z44" s="49">
        <v>915727867.84000003</v>
      </c>
      <c r="AA44" s="49">
        <v>543788955.19999993</v>
      </c>
      <c r="AB44" s="37">
        <v>4882356682.04</v>
      </c>
      <c r="AC44" s="37">
        <v>12758826647.959999</v>
      </c>
      <c r="AD44" s="49">
        <v>122129891.52</v>
      </c>
      <c r="AE44" s="49">
        <v>135249122.52000001</v>
      </c>
      <c r="AF44" s="49">
        <v>121407054.60000001</v>
      </c>
      <c r="AG44" s="49">
        <v>221199500.56</v>
      </c>
      <c r="AH44" s="49">
        <v>84341266</v>
      </c>
      <c r="AI44" s="49">
        <v>190626845.47999999</v>
      </c>
      <c r="AJ44" s="49">
        <v>108874762.72</v>
      </c>
      <c r="AK44" s="37">
        <v>983828443.4000001</v>
      </c>
      <c r="AL44" s="50">
        <v>7892017.2000000002</v>
      </c>
      <c r="AM44" s="51">
        <v>13750547108.559999</v>
      </c>
      <c r="AN44" s="50">
        <v>10211466830</v>
      </c>
      <c r="AO44" s="52">
        <v>0.34657903095396914</v>
      </c>
    </row>
    <row r="45" spans="1:42" ht="15" thickTop="1" x14ac:dyDescent="0.3">
      <c r="A45" s="19" t="s">
        <v>117</v>
      </c>
      <c r="B45" s="43"/>
      <c r="C45" s="44">
        <v>0.86830139572519083</v>
      </c>
      <c r="D45" s="44">
        <v>1.004724547763713</v>
      </c>
      <c r="E45" s="44">
        <v>1.0333579903253796</v>
      </c>
      <c r="F45" s="44">
        <v>0.94656316579606448</v>
      </c>
      <c r="G45" s="44">
        <v>0.97031053015873014</v>
      </c>
      <c r="H45" s="44">
        <v>0.86007569142857143</v>
      </c>
      <c r="I45" s="44">
        <v>0.95432174129999991</v>
      </c>
      <c r="J45" s="44">
        <v>0.80132608757894741</v>
      </c>
      <c r="K45" s="44">
        <v>1.0233497859166665</v>
      </c>
      <c r="L45" s="44">
        <v>1.014088354256927</v>
      </c>
      <c r="M45" s="44">
        <v>0.98343878862585032</v>
      </c>
      <c r="N45" s="44">
        <v>1.0026733640666665</v>
      </c>
      <c r="O45" s="44">
        <v>0.95260510295652179</v>
      </c>
      <c r="P45" s="44">
        <v>1.0033388002094241</v>
      </c>
      <c r="Q45" s="44">
        <v>1.0491619649890591</v>
      </c>
      <c r="R45" s="44">
        <v>0.96845272885644773</v>
      </c>
      <c r="S45" s="44">
        <v>0.92545684055652166</v>
      </c>
      <c r="T45" s="45">
        <v>0.97312453248332098</v>
      </c>
      <c r="U45" s="44">
        <v>1.0308942059654631</v>
      </c>
      <c r="V45" s="44">
        <v>1.0146025119895969</v>
      </c>
      <c r="W45" s="44">
        <v>1.019206364100119</v>
      </c>
      <c r="X45" s="44">
        <v>1.0189912873006135</v>
      </c>
      <c r="Y45" s="44">
        <v>0.96370756049586781</v>
      </c>
      <c r="Z45" s="44">
        <v>0.98784020263214678</v>
      </c>
      <c r="AA45" s="44">
        <v>0.95401571087719284</v>
      </c>
      <c r="AB45" s="45">
        <v>1.0008931287494875</v>
      </c>
      <c r="AC45" s="45">
        <v>0.98356665494603757</v>
      </c>
      <c r="AD45" s="44">
        <v>0.98491847999999993</v>
      </c>
      <c r="AE45" s="44">
        <v>0.95245860929577475</v>
      </c>
      <c r="AF45" s="44">
        <v>1.0557135182608697</v>
      </c>
      <c r="AG45" s="44">
        <v>1.0146766080733944</v>
      </c>
      <c r="AH45" s="44">
        <v>1.028552024390244</v>
      </c>
      <c r="AI45" s="44">
        <v>0.97757356656410255</v>
      </c>
      <c r="AJ45" s="44">
        <v>1.0570365312621359</v>
      </c>
      <c r="AK45" s="45">
        <v>1.0049320157303372</v>
      </c>
      <c r="AL45" s="45">
        <v>0</v>
      </c>
      <c r="AM45" s="54">
        <v>0.98563164709053108</v>
      </c>
      <c r="AN45" s="45">
        <v>1.0244248424959872</v>
      </c>
      <c r="AO45" s="45">
        <v>-3.7868268901930735E-2</v>
      </c>
      <c r="AP45" s="55"/>
    </row>
    <row r="46" spans="1:42" ht="16.2" thickBot="1" x14ac:dyDescent="0.35">
      <c r="A46" s="19" t="s">
        <v>118</v>
      </c>
      <c r="C46" s="56">
        <v>118229969</v>
      </c>
      <c r="D46" s="56">
        <v>435723193</v>
      </c>
      <c r="E46" s="56">
        <v>842135307</v>
      </c>
      <c r="F46" s="56">
        <v>525215036</v>
      </c>
      <c r="G46" s="56">
        <v>251386332</v>
      </c>
      <c r="H46" s="56">
        <v>473020465</v>
      </c>
      <c r="I46" s="56">
        <v>399684268</v>
      </c>
      <c r="J46" s="56">
        <v>275526081</v>
      </c>
      <c r="K46" s="56">
        <v>445102400</v>
      </c>
      <c r="L46" s="56">
        <v>362118322</v>
      </c>
      <c r="M46" s="56">
        <v>722703002</v>
      </c>
      <c r="N46" s="56">
        <v>553490081</v>
      </c>
      <c r="O46" s="56">
        <v>421260520</v>
      </c>
      <c r="P46" s="56">
        <v>352292811</v>
      </c>
      <c r="Q46" s="56">
        <v>422642941</v>
      </c>
      <c r="R46" s="56">
        <v>381803358</v>
      </c>
      <c r="S46" s="56">
        <v>544753753</v>
      </c>
      <c r="T46" s="57">
        <v>7527087839</v>
      </c>
      <c r="U46" s="56">
        <v>384070629</v>
      </c>
      <c r="V46" s="56">
        <v>688727037</v>
      </c>
      <c r="W46" s="56">
        <v>733236871</v>
      </c>
      <c r="X46" s="56">
        <v>0</v>
      </c>
      <c r="Y46" s="56">
        <v>0</v>
      </c>
      <c r="Z46" s="56">
        <v>0</v>
      </c>
      <c r="AA46" s="56">
        <v>0</v>
      </c>
      <c r="AB46" s="57">
        <v>1806034537</v>
      </c>
      <c r="AC46" s="57">
        <v>9333122376</v>
      </c>
      <c r="AD46" s="56">
        <v>116611462</v>
      </c>
      <c r="AE46" s="56">
        <v>133781341</v>
      </c>
      <c r="AF46" s="56">
        <v>108733912</v>
      </c>
      <c r="AG46" s="56">
        <v>204511950</v>
      </c>
      <c r="AH46" s="56">
        <v>77116349</v>
      </c>
      <c r="AI46" s="56">
        <v>183205550</v>
      </c>
      <c r="AJ46" s="56">
        <v>84311990</v>
      </c>
      <c r="AK46" s="58">
        <v>908272554</v>
      </c>
      <c r="AL46" s="58">
        <v>-29928100</v>
      </c>
      <c r="AM46" s="59">
        <v>10211466830</v>
      </c>
      <c r="AN46" s="58">
        <v>7109754048</v>
      </c>
      <c r="AO46" s="60">
        <v>0</v>
      </c>
      <c r="AP46" s="61"/>
    </row>
    <row r="47" spans="1:42" ht="15" thickTop="1" x14ac:dyDescent="0.3">
      <c r="A47" s="19" t="s">
        <v>119</v>
      </c>
      <c r="C47" s="44">
        <v>-3.7913282037653206E-2</v>
      </c>
      <c r="D47" s="44">
        <v>9.2986196950043842E-2</v>
      </c>
      <c r="E47" s="44">
        <v>0.13135746614647048</v>
      </c>
      <c r="F47" s="44">
        <v>7.451754827521917E-3</v>
      </c>
      <c r="G47" s="44">
        <v>0.21584898657099627</v>
      </c>
      <c r="H47" s="44">
        <v>-7.0867518765810655E-2</v>
      </c>
      <c r="I47" s="44">
        <v>-4.4924388867865095E-2</v>
      </c>
      <c r="J47" s="44">
        <v>-0.17112044663387049</v>
      </c>
      <c r="K47" s="44">
        <v>0.10358402300234726</v>
      </c>
      <c r="L47" s="44">
        <v>0.11177218102761444</v>
      </c>
      <c r="M47" s="44">
        <v>1.7228050756035174E-4</v>
      </c>
      <c r="N47" s="44">
        <v>8.6928274040741105E-2</v>
      </c>
      <c r="O47" s="44">
        <v>4.0207488135845182E-2</v>
      </c>
      <c r="P47" s="44">
        <v>8.7945622824531666E-2</v>
      </c>
      <c r="Q47" s="44">
        <v>0.13444936963941867</v>
      </c>
      <c r="R47" s="44">
        <v>4.2510662150855083E-2</v>
      </c>
      <c r="S47" s="44">
        <v>-2.3159215719988024E-2</v>
      </c>
      <c r="T47" s="45">
        <v>4.6416640059619318E-2</v>
      </c>
      <c r="U47" s="44">
        <v>0.70978866806292529</v>
      </c>
      <c r="V47" s="44">
        <v>0.1328571259792144</v>
      </c>
      <c r="W47" s="44">
        <v>0.16621813945851049</v>
      </c>
      <c r="X47" s="44">
        <v>0</v>
      </c>
      <c r="Y47" s="44">
        <v>0</v>
      </c>
      <c r="Z47" s="44">
        <v>0</v>
      </c>
      <c r="AA47" s="44">
        <v>0</v>
      </c>
      <c r="AB47" s="45">
        <v>1.7033573179337269</v>
      </c>
      <c r="AC47" s="45">
        <v>0.3670480396538196</v>
      </c>
      <c r="AD47" s="44">
        <v>4.732321699216846E-2</v>
      </c>
      <c r="AE47" s="44">
        <v>1.0971496540762127E-2</v>
      </c>
      <c r="AF47" s="44">
        <v>0.11655188677475348</v>
      </c>
      <c r="AG47" s="44">
        <v>8.1596946095326084E-2</v>
      </c>
      <c r="AH47" s="44">
        <v>9.3688525114175247E-2</v>
      </c>
      <c r="AI47" s="44">
        <v>4.0508027622525589E-2</v>
      </c>
      <c r="AJ47" s="44">
        <v>0.29133190569929623</v>
      </c>
      <c r="AK47" s="45">
        <v>8.3186361921049556E-2</v>
      </c>
      <c r="AL47" s="45">
        <v>-1.2636992391765598</v>
      </c>
      <c r="AM47" s="46">
        <v>0.34657903095396914</v>
      </c>
      <c r="AN47" s="45">
        <v>0.43626161482653858</v>
      </c>
      <c r="AO47" s="45">
        <v>-0.20557065032693289</v>
      </c>
    </row>
    <row r="48" spans="1:42" s="63" customFormat="1" x14ac:dyDescent="0.3">
      <c r="A48" s="62" t="s">
        <v>120</v>
      </c>
      <c r="C48" s="64">
        <v>50</v>
      </c>
      <c r="D48" s="64">
        <v>258</v>
      </c>
      <c r="E48" s="64">
        <v>285.7</v>
      </c>
      <c r="F48" s="64">
        <v>186</v>
      </c>
      <c r="G48" s="64">
        <v>409</v>
      </c>
      <c r="H48" s="64">
        <v>397</v>
      </c>
      <c r="I48" s="64">
        <v>230</v>
      </c>
      <c r="J48" s="64">
        <v>150</v>
      </c>
      <c r="K48" s="64">
        <v>144.88</v>
      </c>
      <c r="L48" s="64">
        <v>307</v>
      </c>
      <c r="M48" s="64">
        <v>206.19</v>
      </c>
      <c r="N48" s="64">
        <v>408</v>
      </c>
      <c r="O48" s="64">
        <v>175</v>
      </c>
      <c r="P48" s="64">
        <v>180</v>
      </c>
      <c r="Q48" s="64">
        <v>335</v>
      </c>
      <c r="R48" s="64">
        <v>215</v>
      </c>
      <c r="S48" s="65">
        <v>201</v>
      </c>
      <c r="T48" s="66"/>
      <c r="U48" s="65">
        <v>355</v>
      </c>
      <c r="V48" s="65">
        <v>245</v>
      </c>
      <c r="W48" s="65">
        <v>260.36</v>
      </c>
      <c r="X48" s="65">
        <v>250</v>
      </c>
      <c r="Y48" s="65">
        <v>459.81</v>
      </c>
      <c r="Z48" s="65">
        <v>228.76</v>
      </c>
      <c r="AA48" s="65">
        <v>327</v>
      </c>
      <c r="AB48" s="66"/>
      <c r="AC48" s="66"/>
      <c r="AD48" s="65">
        <v>35</v>
      </c>
      <c r="AE48" s="65">
        <v>20</v>
      </c>
      <c r="AF48" s="65">
        <v>85</v>
      </c>
      <c r="AG48" s="65">
        <v>90</v>
      </c>
      <c r="AH48" s="65">
        <v>20</v>
      </c>
      <c r="AI48" s="65">
        <v>95</v>
      </c>
      <c r="AJ48" s="65">
        <v>15</v>
      </c>
      <c r="AK48" s="66"/>
      <c r="AL48" s="66"/>
      <c r="AM48" s="67"/>
      <c r="AN48" s="66"/>
      <c r="AO48" s="68"/>
    </row>
    <row r="49" spans="1:42" s="71" customFormat="1" ht="15" thickBot="1" x14ac:dyDescent="0.35">
      <c r="A49" s="62" t="s">
        <v>121</v>
      </c>
      <c r="B49" s="69"/>
      <c r="C49" s="49">
        <v>1834636.82</v>
      </c>
      <c r="D49" s="49">
        <v>1488620.3914728682</v>
      </c>
      <c r="E49" s="49">
        <v>2689365.3027651384</v>
      </c>
      <c r="F49" s="49">
        <v>2294176.2473118277</v>
      </c>
      <c r="G49" s="49">
        <v>602665.46454767731</v>
      </c>
      <c r="H49" s="49">
        <v>892781.90931989928</v>
      </c>
      <c r="I49" s="49">
        <v>1338459.6652173912</v>
      </c>
      <c r="J49" s="49">
        <v>1227838.3600000001</v>
      </c>
      <c r="K49" s="49">
        <v>2734231.0946990615</v>
      </c>
      <c r="L49" s="49">
        <v>1057562.9837133551</v>
      </c>
      <c r="M49" s="49">
        <v>2827127.4601096078</v>
      </c>
      <c r="N49" s="49">
        <v>1189128.7524509805</v>
      </c>
      <c r="O49" s="49">
        <v>2019347.2228571428</v>
      </c>
      <c r="P49" s="49">
        <v>1717183.7888888889</v>
      </c>
      <c r="Q49" s="49">
        <v>1154229.7014925373</v>
      </c>
      <c r="R49" s="49">
        <v>1493001.0186046511</v>
      </c>
      <c r="S49" s="49">
        <v>2135041.2587064677</v>
      </c>
      <c r="T49" s="37">
        <v>28695397.442157496</v>
      </c>
      <c r="U49" s="49">
        <v>1491775.5774647887</v>
      </c>
      <c r="V49" s="49">
        <v>2568233.4816326532</v>
      </c>
      <c r="W49" s="49">
        <v>2648671.7506529419</v>
      </c>
      <c r="X49" s="49">
        <v>2143168.7719999999</v>
      </c>
      <c r="Y49" s="49">
        <v>818070.12026706687</v>
      </c>
      <c r="Z49" s="49">
        <v>3228231.4040916245</v>
      </c>
      <c r="AA49" s="49">
        <v>1341099.3272171253</v>
      </c>
      <c r="AB49" s="37">
        <v>14239250.4333262</v>
      </c>
      <c r="AC49" s="37">
        <v>42934647.875483692</v>
      </c>
      <c r="AD49" s="49">
        <v>2814052.8</v>
      </c>
      <c r="AE49" s="49">
        <v>5453593.6500000004</v>
      </c>
      <c r="AF49" s="49">
        <v>1151869.5882352942</v>
      </c>
      <c r="AG49" s="49">
        <v>1982074.3777777778</v>
      </c>
      <c r="AH49" s="49">
        <v>3400857.5</v>
      </c>
      <c r="AI49" s="49">
        <v>1618224.4947368421</v>
      </c>
      <c r="AJ49" s="49">
        <v>5853481.8666666662</v>
      </c>
      <c r="AK49" s="37">
        <v>22274154.277416579</v>
      </c>
      <c r="AL49" s="37">
        <v>0</v>
      </c>
      <c r="AM49" s="36">
        <v>65208802.152900271</v>
      </c>
      <c r="AN49" s="37">
        <v>32383830.114004921</v>
      </c>
      <c r="AO49" s="70">
        <v>1.0136222899927962</v>
      </c>
    </row>
    <row r="50" spans="1:42" s="63" customFormat="1" ht="15" thickTop="1" x14ac:dyDescent="0.3">
      <c r="A50" s="62" t="s">
        <v>122</v>
      </c>
      <c r="C50" s="72">
        <v>29</v>
      </c>
      <c r="D50" s="72">
        <v>111</v>
      </c>
      <c r="E50" s="72">
        <v>132</v>
      </c>
      <c r="F50" s="72">
        <v>108</v>
      </c>
      <c r="G50" s="72">
        <v>136</v>
      </c>
      <c r="H50" s="72">
        <v>105</v>
      </c>
      <c r="I50" s="72">
        <v>90</v>
      </c>
      <c r="J50" s="72">
        <v>129</v>
      </c>
      <c r="K50" s="72">
        <v>110</v>
      </c>
      <c r="L50" s="72">
        <v>101</v>
      </c>
      <c r="M50" s="72">
        <v>102</v>
      </c>
      <c r="N50" s="72">
        <v>98</v>
      </c>
      <c r="O50" s="72">
        <v>78</v>
      </c>
      <c r="P50" s="72">
        <v>68</v>
      </c>
      <c r="Q50" s="72">
        <v>160</v>
      </c>
      <c r="R50" s="72">
        <v>74</v>
      </c>
      <c r="S50" s="72">
        <v>127</v>
      </c>
      <c r="T50" s="66"/>
      <c r="U50" s="65">
        <v>112</v>
      </c>
      <c r="V50" s="65">
        <v>95</v>
      </c>
      <c r="W50" s="65">
        <v>79</v>
      </c>
      <c r="X50" s="65">
        <v>85</v>
      </c>
      <c r="Y50" s="65">
        <v>116</v>
      </c>
      <c r="Z50" s="65">
        <v>110</v>
      </c>
      <c r="AA50" s="65">
        <v>110</v>
      </c>
      <c r="AB50" s="66"/>
      <c r="AC50" s="66"/>
      <c r="AD50" s="65">
        <v>12</v>
      </c>
      <c r="AE50" s="65">
        <v>36</v>
      </c>
      <c r="AF50" s="65">
        <v>40</v>
      </c>
      <c r="AG50" s="65">
        <v>81</v>
      </c>
      <c r="AH50" s="65">
        <v>31</v>
      </c>
      <c r="AI50" s="65">
        <v>45</v>
      </c>
      <c r="AJ50" s="65">
        <v>0</v>
      </c>
      <c r="AK50" s="66"/>
      <c r="AL50" s="66"/>
      <c r="AM50" s="67"/>
      <c r="AN50" s="66"/>
      <c r="AO50" s="68"/>
    </row>
    <row r="51" spans="1:42" s="71" customFormat="1" ht="15" thickBot="1" x14ac:dyDescent="0.35">
      <c r="A51" s="62" t="s">
        <v>123</v>
      </c>
      <c r="B51" s="69"/>
      <c r="C51" s="49">
        <v>3163166.9310344825</v>
      </c>
      <c r="D51" s="49">
        <v>3460036.5855855858</v>
      </c>
      <c r="E51" s="49">
        <v>5820845.9621212119</v>
      </c>
      <c r="F51" s="49">
        <v>3951081.3148148148</v>
      </c>
      <c r="G51" s="49">
        <v>1812427.7573529412</v>
      </c>
      <c r="H51" s="49">
        <v>3375565.8857142855</v>
      </c>
      <c r="I51" s="49">
        <v>3420508.0333333332</v>
      </c>
      <c r="J51" s="49">
        <v>1427719.0232558139</v>
      </c>
      <c r="K51" s="49">
        <v>3601230.918181818</v>
      </c>
      <c r="L51" s="49">
        <v>3214572.6336633665</v>
      </c>
      <c r="M51" s="49">
        <v>5714955.0098039219</v>
      </c>
      <c r="N51" s="49">
        <v>4950658.4795918372</v>
      </c>
      <c r="O51" s="49">
        <v>4530586.717948718</v>
      </c>
      <c r="P51" s="49">
        <v>4545486.5</v>
      </c>
      <c r="Q51" s="49">
        <v>2416668.4375</v>
      </c>
      <c r="R51" s="49">
        <v>4337773.2297297297</v>
      </c>
      <c r="S51" s="49">
        <v>3379081.0472440943</v>
      </c>
      <c r="T51" s="37">
        <v>63122364.466875963</v>
      </c>
      <c r="U51" s="49">
        <v>4728395.8035714282</v>
      </c>
      <c r="V51" s="49">
        <v>6623338.9789473685</v>
      </c>
      <c r="W51" s="49">
        <v>8729217.4303797465</v>
      </c>
      <c r="X51" s="49">
        <v>6303437.5647058822</v>
      </c>
      <c r="Y51" s="49">
        <v>3242731.2241379311</v>
      </c>
      <c r="Z51" s="49">
        <v>6713547.418181818</v>
      </c>
      <c r="AA51" s="49">
        <v>3986722.5454545454</v>
      </c>
      <c r="AB51" s="37">
        <v>40327390.965378724</v>
      </c>
      <c r="AC51" s="37">
        <v>103449755.43225469</v>
      </c>
      <c r="AD51" s="49">
        <v>8207654</v>
      </c>
      <c r="AE51" s="49">
        <v>3029774.25</v>
      </c>
      <c r="AF51" s="49">
        <v>2447722.875</v>
      </c>
      <c r="AG51" s="49">
        <v>2202304.8641975308</v>
      </c>
      <c r="AH51" s="49">
        <v>2194101.6129032257</v>
      </c>
      <c r="AI51" s="49">
        <v>3416251.7111111111</v>
      </c>
      <c r="AJ51" s="49">
        <v>0</v>
      </c>
      <c r="AK51" s="37">
        <v>21497809.313211866</v>
      </c>
      <c r="AL51" s="37">
        <v>0</v>
      </c>
      <c r="AM51" s="36">
        <v>124947564.74546656</v>
      </c>
      <c r="AN51" s="37"/>
      <c r="AO51" s="70">
        <v>0</v>
      </c>
    </row>
    <row r="52" spans="1:42" s="63" customFormat="1" ht="15" thickTop="1" x14ac:dyDescent="0.3">
      <c r="A52" s="62" t="s">
        <v>124</v>
      </c>
      <c r="C52" s="72">
        <v>8</v>
      </c>
      <c r="D52" s="72">
        <v>25</v>
      </c>
      <c r="E52" s="72">
        <v>41</v>
      </c>
      <c r="F52" s="72">
        <v>24</v>
      </c>
      <c r="G52" s="72">
        <v>21</v>
      </c>
      <c r="H52" s="72">
        <v>25</v>
      </c>
      <c r="I52" s="72">
        <v>19</v>
      </c>
      <c r="J52" s="72">
        <v>19</v>
      </c>
      <c r="K52" s="72">
        <v>24</v>
      </c>
      <c r="L52" s="72">
        <v>20</v>
      </c>
      <c r="M52" s="72">
        <v>32</v>
      </c>
      <c r="N52" s="72">
        <v>27</v>
      </c>
      <c r="O52" s="72">
        <v>24</v>
      </c>
      <c r="P52" s="72">
        <v>20</v>
      </c>
      <c r="Q52" s="72">
        <v>27</v>
      </c>
      <c r="R52" s="72">
        <v>24</v>
      </c>
      <c r="S52" s="72">
        <v>31</v>
      </c>
      <c r="T52" s="66">
        <v>411</v>
      </c>
      <c r="U52" s="65">
        <v>37</v>
      </c>
      <c r="V52" s="65">
        <v>45</v>
      </c>
      <c r="W52" s="65">
        <v>43</v>
      </c>
      <c r="X52" s="65">
        <v>42</v>
      </c>
      <c r="Y52" s="65">
        <v>37</v>
      </c>
      <c r="Z52" s="65">
        <v>34</v>
      </c>
      <c r="AA52" s="65">
        <v>34</v>
      </c>
      <c r="AB52" s="66">
        <v>272</v>
      </c>
      <c r="AC52" s="66">
        <v>683</v>
      </c>
      <c r="AD52" s="65">
        <v>7</v>
      </c>
      <c r="AE52" s="65">
        <v>10</v>
      </c>
      <c r="AF52" s="65">
        <v>9</v>
      </c>
      <c r="AG52" s="65">
        <v>12</v>
      </c>
      <c r="AH52" s="65">
        <v>6</v>
      </c>
      <c r="AI52" s="65">
        <v>13</v>
      </c>
      <c r="AJ52" s="65">
        <v>7</v>
      </c>
      <c r="AK52" s="66">
        <v>64</v>
      </c>
      <c r="AL52" s="66"/>
      <c r="AM52" s="67">
        <v>747</v>
      </c>
      <c r="AN52" s="66"/>
      <c r="AO52" s="68"/>
    </row>
    <row r="53" spans="1:42" s="71" customFormat="1" ht="15" thickBot="1" x14ac:dyDescent="0.35">
      <c r="A53" s="62" t="s">
        <v>125</v>
      </c>
      <c r="B53" s="69"/>
      <c r="C53" s="49">
        <v>11466480.125</v>
      </c>
      <c r="D53" s="49">
        <v>15362562.439999999</v>
      </c>
      <c r="E53" s="49">
        <v>18740284.560975611</v>
      </c>
      <c r="F53" s="49">
        <v>17779865.916666668</v>
      </c>
      <c r="G53" s="49">
        <v>11737627.380952381</v>
      </c>
      <c r="H53" s="49">
        <v>14177376.720000001</v>
      </c>
      <c r="I53" s="49">
        <v>16202406.47368421</v>
      </c>
      <c r="J53" s="49">
        <v>9693460.7368421052</v>
      </c>
      <c r="K53" s="49">
        <v>16505641.708333334</v>
      </c>
      <c r="L53" s="49">
        <v>16233591.800000001</v>
      </c>
      <c r="M53" s="49">
        <v>18216419.09375</v>
      </c>
      <c r="N53" s="49">
        <v>17969056.703703705</v>
      </c>
      <c r="O53" s="49">
        <v>14724406.833333334</v>
      </c>
      <c r="P53" s="49">
        <v>15454654.1</v>
      </c>
      <c r="Q53" s="49">
        <v>14320998.148148147</v>
      </c>
      <c r="R53" s="49">
        <v>13374800.791666666</v>
      </c>
      <c r="S53" s="49">
        <v>13843332.032258065</v>
      </c>
      <c r="T53" s="37">
        <v>15454968.145985402</v>
      </c>
      <c r="U53" s="49">
        <v>14312981.891891891</v>
      </c>
      <c r="V53" s="49">
        <v>13982604.51111111</v>
      </c>
      <c r="W53" s="49">
        <v>16037399.465116279</v>
      </c>
      <c r="X53" s="49">
        <v>12756956.976190476</v>
      </c>
      <c r="Y53" s="49">
        <v>10166400.594594594</v>
      </c>
      <c r="Z53" s="49">
        <v>21720300.470588237</v>
      </c>
      <c r="AA53" s="49">
        <v>12898220</v>
      </c>
      <c r="AB53" s="37">
        <v>14475678.018382354</v>
      </c>
      <c r="AC53" s="37">
        <v>15064972.663250366</v>
      </c>
      <c r="AD53" s="49">
        <v>14070264</v>
      </c>
      <c r="AE53" s="49">
        <v>10907187.300000001</v>
      </c>
      <c r="AF53" s="49">
        <v>10878768.333333334</v>
      </c>
      <c r="AG53" s="49">
        <v>14865557.833333334</v>
      </c>
      <c r="AH53" s="49">
        <v>11336191.666666666</v>
      </c>
      <c r="AI53" s="49">
        <v>11825486.692307692</v>
      </c>
      <c r="AJ53" s="49">
        <v>12543175.428571429</v>
      </c>
      <c r="AK53" s="37">
        <v>12397031.796875</v>
      </c>
      <c r="AL53" s="37">
        <v>0</v>
      </c>
      <c r="AM53" s="36">
        <v>14844914.182061579</v>
      </c>
      <c r="AN53" s="37"/>
      <c r="AO53" s="70">
        <v>0</v>
      </c>
    </row>
    <row r="54" spans="1:42" ht="15.6" thickTop="1" thickBot="1" x14ac:dyDescent="0.35">
      <c r="A54" s="19" t="s">
        <v>126</v>
      </c>
      <c r="C54" s="73">
        <v>8.2722150574786827E-3</v>
      </c>
      <c r="D54" s="73">
        <v>3.4634217233693275E-2</v>
      </c>
      <c r="E54" s="73">
        <v>6.9288593359815451E-2</v>
      </c>
      <c r="F54" s="73">
        <v>3.8480564118834687E-2</v>
      </c>
      <c r="G54" s="73">
        <v>2.2228047697805994E-2</v>
      </c>
      <c r="H54" s="73">
        <v>3.1962268471950689E-2</v>
      </c>
      <c r="I54" s="73">
        <v>2.7760982418100731E-2</v>
      </c>
      <c r="J54" s="73">
        <v>1.6608643507561239E-2</v>
      </c>
      <c r="K54" s="73">
        <v>3.5722789308813244E-2</v>
      </c>
      <c r="L54" s="73">
        <v>2.9278331506488019E-2</v>
      </c>
      <c r="M54" s="73">
        <v>5.2567181795262888E-2</v>
      </c>
      <c r="N54" s="73">
        <v>4.3751278672067462E-2</v>
      </c>
      <c r="O54" s="73">
        <v>3.1867702710331611E-2</v>
      </c>
      <c r="P54" s="73">
        <v>2.7873467044915116E-2</v>
      </c>
      <c r="Q54" s="73">
        <v>3.4868941156641096E-2</v>
      </c>
      <c r="R54" s="73">
        <v>2.8946780692981705E-2</v>
      </c>
      <c r="S54" s="73">
        <v>3.8699382585928768E-2</v>
      </c>
      <c r="T54" s="74">
        <v>0.57281138733867065</v>
      </c>
      <c r="U54" s="73">
        <v>4.7756616810628823E-2</v>
      </c>
      <c r="V54" s="73">
        <v>5.6741693662086444E-2</v>
      </c>
      <c r="W54" s="73">
        <v>6.2187644806341834E-2</v>
      </c>
      <c r="X54" s="73">
        <v>4.8316791621069992E-2</v>
      </c>
      <c r="Y54" s="73">
        <v>3.392115641636069E-2</v>
      </c>
      <c r="Z54" s="73">
        <v>6.6595740562929343E-2</v>
      </c>
      <c r="AA54" s="73">
        <v>3.9546714098487042E-2</v>
      </c>
      <c r="AB54" s="74">
        <v>0.35506635797790415</v>
      </c>
      <c r="AC54" s="74">
        <v>0.92787774531657485</v>
      </c>
      <c r="AD54" s="73">
        <v>8.8818205236336819E-3</v>
      </c>
      <c r="AE54" s="73">
        <v>9.8359084516575074E-3</v>
      </c>
      <c r="AF54" s="73">
        <v>8.8292526574758317E-3</v>
      </c>
      <c r="AG54" s="73">
        <v>1.6086596323305474E-2</v>
      </c>
      <c r="AH54" s="73">
        <v>6.1336661977250215E-3</v>
      </c>
      <c r="AI54" s="73">
        <v>1.3863218966853387E-2</v>
      </c>
      <c r="AJ54" s="73">
        <v>7.9178495124912675E-3</v>
      </c>
      <c r="AK54" s="74">
        <v>7.1548312633142166E-2</v>
      </c>
      <c r="AL54" s="75">
        <v>5.7394205028300695E-4</v>
      </c>
      <c r="AM54" s="76">
        <v>1</v>
      </c>
      <c r="AN54" s="75">
        <v>1</v>
      </c>
      <c r="AO54" s="74"/>
    </row>
    <row r="55" spans="1:42" s="71" customFormat="1" ht="15.6" thickTop="1" thickBot="1" x14ac:dyDescent="0.35">
      <c r="A55" s="62" t="s">
        <v>127</v>
      </c>
      <c r="B55" s="69"/>
      <c r="C55" s="37">
        <v>415278</v>
      </c>
      <c r="D55" s="37">
        <v>1027591</v>
      </c>
      <c r="E55" s="37">
        <v>2743706</v>
      </c>
      <c r="F55" s="37">
        <v>1277129</v>
      </c>
      <c r="G55" s="37">
        <v>4736946</v>
      </c>
      <c r="H55" s="37">
        <v>4149446</v>
      </c>
      <c r="I55" s="37">
        <v>652038</v>
      </c>
      <c r="J55" s="37">
        <v>2875833</v>
      </c>
      <c r="K55" s="37">
        <v>572129</v>
      </c>
      <c r="L55" s="37">
        <v>813006</v>
      </c>
      <c r="M55" s="37">
        <v>1376661</v>
      </c>
      <c r="N55" s="37">
        <v>1191668</v>
      </c>
      <c r="O55" s="37">
        <v>868147</v>
      </c>
      <c r="P55" s="37">
        <v>384631</v>
      </c>
      <c r="Q55" s="37">
        <v>1152964</v>
      </c>
      <c r="R55" s="37">
        <v>628983</v>
      </c>
      <c r="S55" s="37">
        <v>770835</v>
      </c>
      <c r="T55" s="37">
        <v>25636991</v>
      </c>
      <c r="U55" s="37">
        <v>1745367</v>
      </c>
      <c r="V55" s="37">
        <v>1902640</v>
      </c>
      <c r="W55" s="37">
        <v>1351388</v>
      </c>
      <c r="X55" s="37">
        <v>1336205</v>
      </c>
      <c r="Y55" s="37">
        <v>1360001</v>
      </c>
      <c r="Z55" s="37">
        <v>1332778</v>
      </c>
      <c r="AA55" s="37">
        <v>2697776</v>
      </c>
      <c r="AB55" s="37">
        <v>11726155</v>
      </c>
      <c r="AC55" s="37">
        <v>37363146</v>
      </c>
      <c r="AD55" s="37">
        <v>80464</v>
      </c>
      <c r="AE55" s="37">
        <v>55649</v>
      </c>
      <c r="AF55" s="37">
        <v>193612</v>
      </c>
      <c r="AG55" s="37">
        <v>1284590</v>
      </c>
      <c r="AH55" s="37">
        <v>130278</v>
      </c>
      <c r="AI55" s="37">
        <v>123241</v>
      </c>
      <c r="AJ55" s="37">
        <v>48797</v>
      </c>
      <c r="AK55" s="37">
        <v>1916631</v>
      </c>
      <c r="AL55" s="37">
        <v>0</v>
      </c>
      <c r="AM55" s="36">
        <v>39279777</v>
      </c>
      <c r="AN55" s="37"/>
      <c r="AO55" s="70">
        <v>0</v>
      </c>
    </row>
    <row r="56" spans="1:42" ht="15" thickTop="1" x14ac:dyDescent="0.3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8"/>
      <c r="U56" s="77"/>
      <c r="V56" s="77"/>
      <c r="W56" s="77"/>
      <c r="X56" s="77"/>
      <c r="Y56" s="77"/>
      <c r="Z56" s="77"/>
      <c r="AA56" s="77"/>
      <c r="AB56" s="78"/>
      <c r="AC56" s="78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26"/>
    </row>
    <row r="57" spans="1:42" x14ac:dyDescent="0.3"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8"/>
      <c r="U57" s="77"/>
      <c r="V57" s="77"/>
      <c r="W57" s="77"/>
      <c r="X57" s="77"/>
      <c r="Y57" s="77"/>
      <c r="Z57" s="77"/>
      <c r="AA57" s="77"/>
      <c r="AB57" s="78"/>
      <c r="AC57" s="78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26"/>
    </row>
    <row r="58" spans="1:42" x14ac:dyDescent="0.3"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</row>
    <row r="59" spans="1:42" x14ac:dyDescent="0.3"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8"/>
      <c r="U59" s="77"/>
      <c r="V59" s="77"/>
      <c r="W59" s="77"/>
      <c r="X59" s="77"/>
      <c r="Y59" s="77"/>
      <c r="Z59" s="77"/>
      <c r="AA59" s="77"/>
      <c r="AB59" s="78"/>
      <c r="AC59" s="78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26"/>
    </row>
    <row r="60" spans="1:42" x14ac:dyDescent="0.3"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8"/>
      <c r="U60" s="79"/>
      <c r="V60" s="79"/>
      <c r="W60" s="79"/>
      <c r="X60" s="79"/>
      <c r="Y60" s="79"/>
      <c r="Z60" s="79"/>
      <c r="AA60" s="79"/>
      <c r="AB60" s="78"/>
      <c r="AC60" s="78"/>
      <c r="AD60" s="79"/>
      <c r="AE60" s="79"/>
      <c r="AF60" s="79"/>
      <c r="AG60" s="79"/>
      <c r="AH60" s="79"/>
      <c r="AI60" s="79"/>
      <c r="AJ60" s="79"/>
      <c r="AK60" s="78"/>
      <c r="AL60" s="79"/>
      <c r="AM60" s="78"/>
    </row>
    <row r="61" spans="1:42" x14ac:dyDescent="0.3"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8"/>
      <c r="U61" s="79"/>
      <c r="V61" s="79"/>
      <c r="W61" s="79"/>
      <c r="X61" s="79"/>
      <c r="Y61" s="79"/>
      <c r="Z61" s="79"/>
      <c r="AA61" s="79"/>
      <c r="AB61" s="78"/>
      <c r="AC61" s="78"/>
      <c r="AD61" s="79"/>
      <c r="AE61" s="79"/>
      <c r="AF61" s="79"/>
      <c r="AG61" s="79"/>
      <c r="AH61" s="79"/>
      <c r="AI61" s="79"/>
      <c r="AJ61" s="79"/>
      <c r="AK61" s="78"/>
      <c r="AL61" s="79"/>
      <c r="AM61" s="78"/>
      <c r="AP61" s="15"/>
    </row>
    <row r="62" spans="1:42" x14ac:dyDescent="0.3"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</row>
    <row r="63" spans="1:42" x14ac:dyDescent="0.3"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</row>
    <row r="64" spans="1:42" x14ac:dyDescent="0.3"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</row>
    <row r="65" spans="3:39" x14ac:dyDescent="0.3"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</row>
  </sheetData>
  <conditionalFormatting sqref="C43:N43 Q43:AH43">
    <cfRule type="iconSet" priority="29">
      <iconSet>
        <cfvo type="percent" val="0"/>
        <cfvo type="num" val="0.8"/>
        <cfvo type="num" val="0.99999899999999997"/>
      </iconSet>
    </cfRule>
  </conditionalFormatting>
  <conditionalFormatting sqref="C47:S47 AB47:AJ47 C54:S54 AB54:AJ54">
    <cfRule type="iconSet" priority="25">
      <iconSet>
        <cfvo type="percent" val="0"/>
        <cfvo type="num" val="0.05"/>
        <cfvo type="num" val="7.0000000000000007E-2"/>
      </iconSet>
    </cfRule>
  </conditionalFormatting>
  <conditionalFormatting sqref="D45:E45">
    <cfRule type="iconSet" priority="20">
      <iconSet>
        <cfvo type="percent" val="0"/>
        <cfvo type="num" val="0.8"/>
        <cfvo type="num" val="0.99990000000000001" gte="0"/>
      </iconSet>
    </cfRule>
  </conditionalFormatting>
  <conditionalFormatting sqref="O43">
    <cfRule type="iconSet" priority="24">
      <iconSet>
        <cfvo type="percent" val="0"/>
        <cfvo type="num" val="0.8"/>
        <cfvo type="num" val="0.99"/>
      </iconSet>
    </cfRule>
  </conditionalFormatting>
  <conditionalFormatting sqref="P43">
    <cfRule type="iconSet" priority="21">
      <iconSet>
        <cfvo type="percent" val="0"/>
        <cfvo type="num" val="0.8"/>
        <cfvo type="num" val="0.99"/>
      </iconSet>
    </cfRule>
  </conditionalFormatting>
  <conditionalFormatting sqref="T45">
    <cfRule type="iconSet" priority="2">
      <iconSet>
        <cfvo type="percent" val="0"/>
        <cfvo type="num" val="0.8"/>
        <cfvo type="num" val="0.99999000000000005" gte="0"/>
      </iconSet>
    </cfRule>
  </conditionalFormatting>
  <conditionalFormatting sqref="T54 T47">
    <cfRule type="iconSet" priority="3">
      <iconSet>
        <cfvo type="percent" val="0"/>
        <cfvo type="num" val="0.05"/>
        <cfvo type="num" val="7.0000000000000007E-2"/>
      </iconSet>
    </cfRule>
  </conditionalFormatting>
  <conditionalFormatting sqref="U45 N45:S45">
    <cfRule type="iconSet" priority="27">
      <iconSet>
        <cfvo type="percent" val="0"/>
        <cfvo type="num" val="0.8"/>
        <cfvo type="num" val="0.99990000000000001" gte="0"/>
      </iconSet>
    </cfRule>
  </conditionalFormatting>
  <conditionalFormatting sqref="U47:X47 U54:AA54">
    <cfRule type="iconSet" priority="28">
      <iconSet>
        <cfvo type="percent" val="0"/>
        <cfvo type="num" val="0.05"/>
        <cfvo type="num" val="7.0000000000000007E-2"/>
      </iconSet>
    </cfRule>
  </conditionalFormatting>
  <conditionalFormatting sqref="Y47:AA47">
    <cfRule type="iconSet" priority="31">
      <iconSet>
        <cfvo type="percent" val="0"/>
        <cfvo type="num" val="0.05"/>
        <cfvo type="num" val="7.0000000000000007E-2"/>
      </iconSet>
    </cfRule>
  </conditionalFormatting>
  <conditionalFormatting sqref="AB45:AC45">
    <cfRule type="iconSet" priority="18">
      <iconSet>
        <cfvo type="percent" val="0"/>
        <cfvo type="num" val="0.8"/>
        <cfvo type="num" val="0.99999000000000005" gte="0"/>
      </iconSet>
    </cfRule>
  </conditionalFormatting>
  <conditionalFormatting sqref="AD45:AH45 C45:S45 U45:AA45">
    <cfRule type="iconSet" priority="30">
      <iconSet>
        <cfvo type="percent" val="0"/>
        <cfvo type="num" val="0.8"/>
        <cfvo type="num" val="0.99999998999999995" gte="0"/>
      </iconSet>
    </cfRule>
  </conditionalFormatting>
  <conditionalFormatting sqref="AI43:AJ43">
    <cfRule type="iconSet" priority="19">
      <iconSet>
        <cfvo type="percent" val="0"/>
        <cfvo type="num" val="0.8"/>
        <cfvo type="num" val="0.99999990000000005" gte="0"/>
      </iconSet>
    </cfRule>
  </conditionalFormatting>
  <conditionalFormatting sqref="AI45:AJ45">
    <cfRule type="iconSet" priority="22">
      <iconSet>
        <cfvo type="percent" val="0"/>
        <cfvo type="num" val="0.8"/>
        <cfvo type="num" val="0.99999990000000005" gte="0"/>
      </iconSet>
    </cfRule>
  </conditionalFormatting>
  <conditionalFormatting sqref="AK43">
    <cfRule type="iconSet" priority="5">
      <iconSet>
        <cfvo type="percent" val="0"/>
        <cfvo type="num" val="0.8"/>
        <cfvo type="num" val="0.99999899999999997"/>
      </iconSet>
    </cfRule>
  </conditionalFormatting>
  <conditionalFormatting sqref="AK45">
    <cfRule type="iconSet" priority="23">
      <iconSet>
        <cfvo type="percent" val="0"/>
        <cfvo type="num" val="0.8"/>
        <cfvo type="num" val="0.999" gte="0"/>
      </iconSet>
    </cfRule>
  </conditionalFormatting>
  <conditionalFormatting sqref="AK54 AK47">
    <cfRule type="iconSet" priority="26">
      <iconSet>
        <cfvo type="percent" val="0"/>
        <cfvo type="num" val="0.05"/>
        <cfvo type="num" val="0.06"/>
      </iconSet>
    </cfRule>
  </conditionalFormatting>
  <conditionalFormatting sqref="AL43">
    <cfRule type="iconSet" priority="15">
      <iconSet>
        <cfvo type="percent" val="0"/>
        <cfvo type="num" val="0.8"/>
        <cfvo type="num" val="0.99"/>
      </iconSet>
    </cfRule>
  </conditionalFormatting>
  <conditionalFormatting sqref="AL45">
    <cfRule type="iconSet" priority="14">
      <iconSet>
        <cfvo type="percent" val="0"/>
        <cfvo type="num" val="0.8"/>
        <cfvo type="num" val="0.99"/>
      </iconSet>
    </cfRule>
  </conditionalFormatting>
  <conditionalFormatting sqref="AL47">
    <cfRule type="iconSet" priority="16">
      <iconSet>
        <cfvo type="percent" val="0"/>
        <cfvo type="num" val="0.05"/>
        <cfvo type="num" val="7.0000000000000007E-2"/>
      </iconSet>
    </cfRule>
  </conditionalFormatting>
  <conditionalFormatting sqref="AL54">
    <cfRule type="iconSet" priority="13">
      <iconSet>
        <cfvo type="percent" val="0"/>
        <cfvo type="num" val="0.05"/>
        <cfvo type="num" val="7.0000000000000007E-2"/>
      </iconSet>
    </cfRule>
  </conditionalFormatting>
  <conditionalFormatting sqref="AM43">
    <cfRule type="iconSet" priority="1">
      <iconSet>
        <cfvo type="percent" val="0"/>
        <cfvo type="num" val="0.8"/>
        <cfvo type="num" val="0.99999990000000005" gte="0"/>
      </iconSet>
    </cfRule>
  </conditionalFormatting>
  <conditionalFormatting sqref="AM45">
    <cfRule type="iconSet" priority="11">
      <iconSet>
        <cfvo type="percent" val="0"/>
        <cfvo type="num" val="0.8"/>
        <cfvo type="num" val="0.99999000000000005"/>
      </iconSet>
    </cfRule>
  </conditionalFormatting>
  <conditionalFormatting sqref="AM47">
    <cfRule type="iconSet" priority="12">
      <iconSet>
        <cfvo type="percent" val="0"/>
        <cfvo type="num" val="0.05"/>
        <cfvo type="num" val="7.0000000000000007E-2"/>
      </iconSet>
    </cfRule>
  </conditionalFormatting>
  <conditionalFormatting sqref="AM54">
    <cfRule type="iconSet" priority="10">
      <iconSet>
        <cfvo type="percent" val="0"/>
        <cfvo type="num" val="0.8"/>
        <cfvo type="num" val="0.99"/>
      </iconSet>
    </cfRule>
  </conditionalFormatting>
  <conditionalFormatting sqref="AN43">
    <cfRule type="iconSet" priority="8">
      <iconSet>
        <cfvo type="percent" val="0"/>
        <cfvo type="num" val="0.8"/>
        <cfvo type="num" val="0.99"/>
      </iconSet>
    </cfRule>
  </conditionalFormatting>
  <conditionalFormatting sqref="AN45">
    <cfRule type="iconSet" priority="7">
      <iconSet>
        <cfvo type="percent" val="0"/>
        <cfvo type="num" val="0.8"/>
        <cfvo type="num" val="0.99"/>
      </iconSet>
    </cfRule>
  </conditionalFormatting>
  <conditionalFormatting sqref="AN47">
    <cfRule type="iconSet" priority="9">
      <iconSet>
        <cfvo type="percent" val="0"/>
        <cfvo type="num" val="0.05"/>
        <cfvo type="num" val="7.0000000000000007E-2"/>
      </iconSet>
    </cfRule>
  </conditionalFormatting>
  <conditionalFormatting sqref="AN54">
    <cfRule type="iconSet" priority="6">
      <iconSet>
        <cfvo type="percent" val="0"/>
        <cfvo type="num" val="0.05"/>
        <cfvo type="num" val="7.0000000000000007E-2"/>
      </iconSet>
    </cfRule>
  </conditionalFormatting>
  <conditionalFormatting sqref="AO45">
    <cfRule type="iconSet" priority="4">
      <iconSet>
        <cfvo type="percent" val="0"/>
        <cfvo type="num" val="0.05"/>
        <cfvo type="num" val="7.0000000000000007E-2"/>
      </iconSet>
    </cfRule>
  </conditionalFormatting>
  <conditionalFormatting sqref="AO47">
    <cfRule type="iconSet" priority="17">
      <iconSet>
        <cfvo type="percent" val="0"/>
        <cfvo type="num" val="0.05"/>
        <cfvo type="num" val="7.0000000000000007E-2"/>
      </iconSet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BB486-6158-49C6-B71B-1BA7026CF494}">
  <dimension ref="A1:AL59"/>
  <sheetViews>
    <sheetView showGridLines="0" zoomScale="80" zoomScaleNormal="80" workbookViewId="0">
      <pane xSplit="2" ySplit="3" topLeftCell="Z30" activePane="bottomRight" state="frozen"/>
      <selection activeCell="AL34" sqref="AL34"/>
      <selection pane="topRight" activeCell="AL34" sqref="AL34"/>
      <selection pane="bottomLeft" activeCell="AL34" sqref="AL34"/>
      <selection pane="bottomRight" activeCell="AM34" sqref="AM34"/>
    </sheetView>
  </sheetViews>
  <sheetFormatPr baseColWidth="10" defaultColWidth="21.5546875" defaultRowHeight="14.4" outlineLevelCol="2" x14ac:dyDescent="0.3"/>
  <cols>
    <col min="1" max="1" width="26.88671875" bestFit="1" customWidth="1"/>
    <col min="2" max="2" width="10.77734375" customWidth="1"/>
    <col min="3" max="4" width="16" customWidth="1" outlineLevel="2"/>
    <col min="5" max="5" width="16.5546875" customWidth="1" outlineLevel="2"/>
    <col min="6" max="7" width="16" customWidth="1" outlineLevel="2"/>
    <col min="8" max="8" width="16.5546875" customWidth="1" outlineLevel="2"/>
    <col min="9" max="17" width="16" customWidth="1" outlineLevel="2"/>
    <col min="18" max="19" width="15" customWidth="1" outlineLevel="2"/>
    <col min="20" max="20" width="16.44140625" customWidth="1" outlineLevel="1"/>
    <col min="21" max="21" width="15.21875" customWidth="1" outlineLevel="2"/>
    <col min="22" max="22" width="15.33203125" customWidth="1" outlineLevel="2"/>
    <col min="23" max="23" width="14.44140625" customWidth="1" outlineLevel="2"/>
    <col min="24" max="24" width="16.44140625" customWidth="1" outlineLevel="1"/>
    <col min="25" max="25" width="16.88671875" bestFit="1" customWidth="1"/>
    <col min="26" max="27" width="16" customWidth="1" outlineLevel="1"/>
    <col min="28" max="28" width="14.77734375" customWidth="1" outlineLevel="1"/>
    <col min="29" max="29" width="16" customWidth="1" outlineLevel="1"/>
    <col min="30" max="30" width="14.77734375" customWidth="1" outlineLevel="1"/>
    <col min="31" max="32" width="16" customWidth="1" outlineLevel="1"/>
    <col min="33" max="33" width="16" bestFit="1" customWidth="1"/>
    <col min="34" max="34" width="15.21875" bestFit="1" customWidth="1"/>
    <col min="35" max="35" width="16.77734375" style="19" bestFit="1" customWidth="1"/>
    <col min="36" max="36" width="16.44140625" style="19" bestFit="1" customWidth="1"/>
    <col min="37" max="37" width="14.21875" bestFit="1" customWidth="1"/>
  </cols>
  <sheetData>
    <row r="1" spans="1:37" s="1" customFormat="1" x14ac:dyDescent="0.3"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2</v>
      </c>
    </row>
    <row r="2" spans="1:37" s="2" customFormat="1" x14ac:dyDescent="0.3">
      <c r="B2" s="3"/>
      <c r="C2" s="3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4"/>
      <c r="U2" s="3" t="s">
        <v>20</v>
      </c>
      <c r="V2" s="3" t="s">
        <v>21</v>
      </c>
      <c r="W2" s="3" t="s">
        <v>22</v>
      </c>
      <c r="X2" s="4"/>
      <c r="Y2" s="4"/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3" t="s">
        <v>32</v>
      </c>
      <c r="AF2" s="3" t="s">
        <v>33</v>
      </c>
      <c r="AG2" s="4"/>
      <c r="AH2" s="5" t="s">
        <v>34</v>
      </c>
      <c r="AI2" s="6"/>
      <c r="AJ2" s="7"/>
      <c r="AK2" s="7"/>
    </row>
    <row r="3" spans="1:37" ht="43.2" x14ac:dyDescent="0.3">
      <c r="A3" s="8" t="s">
        <v>35</v>
      </c>
      <c r="B3" s="9" t="s">
        <v>36</v>
      </c>
      <c r="C3" s="10" t="s">
        <v>37</v>
      </c>
      <c r="D3" s="10" t="s">
        <v>38</v>
      </c>
      <c r="E3" s="10" t="s">
        <v>39</v>
      </c>
      <c r="F3" s="10" t="s">
        <v>40</v>
      </c>
      <c r="G3" s="10" t="s">
        <v>41</v>
      </c>
      <c r="H3" s="10" t="s">
        <v>42</v>
      </c>
      <c r="I3" s="10" t="s">
        <v>43</v>
      </c>
      <c r="J3" s="10" t="s">
        <v>44</v>
      </c>
      <c r="K3" s="10" t="s">
        <v>128</v>
      </c>
      <c r="L3" s="10" t="s">
        <v>46</v>
      </c>
      <c r="M3" s="10" t="s">
        <v>47</v>
      </c>
      <c r="N3" s="10" t="s">
        <v>48</v>
      </c>
      <c r="O3" s="10" t="s">
        <v>49</v>
      </c>
      <c r="P3" s="10" t="s">
        <v>50</v>
      </c>
      <c r="Q3" s="10" t="s">
        <v>51</v>
      </c>
      <c r="R3" s="10" t="s">
        <v>52</v>
      </c>
      <c r="S3" s="10" t="s">
        <v>53</v>
      </c>
      <c r="T3" s="11" t="s">
        <v>129</v>
      </c>
      <c r="U3" s="10" t="s">
        <v>55</v>
      </c>
      <c r="V3" s="10" t="s">
        <v>56</v>
      </c>
      <c r="W3" s="10" t="s">
        <v>57</v>
      </c>
      <c r="X3" s="11" t="s">
        <v>62</v>
      </c>
      <c r="Y3" s="11" t="s">
        <v>54</v>
      </c>
      <c r="Z3" s="10" t="s">
        <v>64</v>
      </c>
      <c r="AA3" s="10" t="s">
        <v>65</v>
      </c>
      <c r="AB3" s="10" t="s">
        <v>66</v>
      </c>
      <c r="AC3" s="10" t="s">
        <v>67</v>
      </c>
      <c r="AD3" s="10" t="s">
        <v>68</v>
      </c>
      <c r="AE3" s="10" t="s">
        <v>69</v>
      </c>
      <c r="AF3" s="10" t="s">
        <v>70</v>
      </c>
      <c r="AG3" s="11" t="s">
        <v>71</v>
      </c>
      <c r="AH3" s="11" t="s">
        <v>72</v>
      </c>
      <c r="AI3" s="12" t="s">
        <v>74</v>
      </c>
      <c r="AJ3" s="11" t="s">
        <v>130</v>
      </c>
      <c r="AK3" s="11" t="s">
        <v>75</v>
      </c>
    </row>
    <row r="4" spans="1:37" x14ac:dyDescent="0.3">
      <c r="A4" s="13" t="s">
        <v>131</v>
      </c>
      <c r="B4" s="14">
        <v>45931</v>
      </c>
      <c r="C4" s="15">
        <v>5002823</v>
      </c>
      <c r="D4" s="15">
        <v>12865791</v>
      </c>
      <c r="E4" s="15">
        <v>25580971</v>
      </c>
      <c r="F4" s="15">
        <v>15576595</v>
      </c>
      <c r="G4" s="15">
        <v>6498187</v>
      </c>
      <c r="H4" s="15">
        <v>17253611</v>
      </c>
      <c r="I4" s="15">
        <v>11687064</v>
      </c>
      <c r="J4" s="15">
        <v>9460291</v>
      </c>
      <c r="K4" s="15">
        <v>14150201</v>
      </c>
      <c r="L4" s="15">
        <v>10413280</v>
      </c>
      <c r="M4" s="15">
        <v>20757736</v>
      </c>
      <c r="N4" s="15">
        <v>14596088</v>
      </c>
      <c r="O4" s="15">
        <v>14243544</v>
      </c>
      <c r="P4" s="15">
        <v>9092546</v>
      </c>
      <c r="Q4" s="15">
        <v>10383376</v>
      </c>
      <c r="R4" s="15">
        <v>8385276</v>
      </c>
      <c r="S4" s="15">
        <v>15356344</v>
      </c>
      <c r="T4" s="16">
        <v>221303724</v>
      </c>
      <c r="U4" s="15">
        <v>11970465</v>
      </c>
      <c r="V4" s="15">
        <v>18771619</v>
      </c>
      <c r="W4" s="15">
        <v>22187271</v>
      </c>
      <c r="X4" s="16">
        <v>52929355</v>
      </c>
      <c r="Y4" s="16">
        <v>274233079</v>
      </c>
      <c r="Z4" s="15">
        <v>4220910</v>
      </c>
      <c r="AA4" s="15">
        <v>4542350</v>
      </c>
      <c r="AB4" s="15">
        <v>3827937</v>
      </c>
      <c r="AC4" s="15">
        <v>5999723</v>
      </c>
      <c r="AD4" s="15">
        <v>2874164</v>
      </c>
      <c r="AE4" s="15">
        <v>6363663</v>
      </c>
      <c r="AF4" s="15">
        <v>3077885</v>
      </c>
      <c r="AG4" s="16">
        <v>30906632</v>
      </c>
      <c r="AH4" s="16">
        <v>180756</v>
      </c>
      <c r="AI4" s="17">
        <v>305320467</v>
      </c>
      <c r="AJ4" s="16">
        <v>198267977</v>
      </c>
      <c r="AK4" s="18">
        <v>0.53993837845029313</v>
      </c>
    </row>
    <row r="5" spans="1:37" x14ac:dyDescent="0.3">
      <c r="A5" s="13" t="s">
        <v>132</v>
      </c>
      <c r="B5" s="14">
        <v>45932</v>
      </c>
      <c r="C5" s="15">
        <v>4968754</v>
      </c>
      <c r="D5" s="15">
        <v>13440248</v>
      </c>
      <c r="E5" s="15">
        <v>24913210</v>
      </c>
      <c r="F5" s="15">
        <v>15602648</v>
      </c>
      <c r="G5" s="15">
        <v>7824568</v>
      </c>
      <c r="H5" s="15">
        <v>17483133</v>
      </c>
      <c r="I5" s="15">
        <v>13115999</v>
      </c>
      <c r="J5" s="15">
        <v>11166890</v>
      </c>
      <c r="K5" s="15">
        <v>15533566</v>
      </c>
      <c r="L5" s="15">
        <v>9894585</v>
      </c>
      <c r="M5" s="15">
        <v>24079313</v>
      </c>
      <c r="N5" s="15">
        <v>14931810</v>
      </c>
      <c r="O5" s="15">
        <v>13065712</v>
      </c>
      <c r="P5" s="15">
        <v>8630598</v>
      </c>
      <c r="Q5" s="15">
        <v>9909171</v>
      </c>
      <c r="R5" s="15">
        <v>11587289</v>
      </c>
      <c r="S5" s="15">
        <v>13459365</v>
      </c>
      <c r="T5" s="16">
        <v>229606859</v>
      </c>
      <c r="U5" s="15">
        <v>10186390</v>
      </c>
      <c r="V5" s="15">
        <v>20585946</v>
      </c>
      <c r="W5" s="15">
        <v>22013661</v>
      </c>
      <c r="X5" s="16">
        <v>52785997</v>
      </c>
      <c r="Y5" s="16">
        <v>282392856</v>
      </c>
      <c r="Z5" s="15">
        <v>3626796</v>
      </c>
      <c r="AA5" s="15">
        <v>3606140</v>
      </c>
      <c r="AB5" s="15">
        <v>3402012</v>
      </c>
      <c r="AC5" s="15">
        <v>5304455</v>
      </c>
      <c r="AD5" s="15">
        <v>2621674</v>
      </c>
      <c r="AE5" s="15">
        <v>5596158</v>
      </c>
      <c r="AF5" s="15">
        <v>2211830</v>
      </c>
      <c r="AG5" s="16">
        <v>26369065</v>
      </c>
      <c r="AH5" s="16">
        <v>907966</v>
      </c>
      <c r="AI5" s="17">
        <v>309669887</v>
      </c>
      <c r="AJ5" s="16">
        <v>208671784</v>
      </c>
      <c r="AK5" s="18">
        <v>0.48400459834090448</v>
      </c>
    </row>
    <row r="6" spans="1:37" x14ac:dyDescent="0.3">
      <c r="A6" s="13" t="s">
        <v>133</v>
      </c>
      <c r="B6" s="14">
        <v>45933</v>
      </c>
      <c r="C6" s="15">
        <v>5206440</v>
      </c>
      <c r="D6" s="15">
        <v>15243579</v>
      </c>
      <c r="E6" s="15">
        <v>31370589</v>
      </c>
      <c r="F6" s="15">
        <v>18145752</v>
      </c>
      <c r="G6" s="15">
        <v>10737135</v>
      </c>
      <c r="H6" s="15">
        <v>17479821</v>
      </c>
      <c r="I6" s="15">
        <v>14265513</v>
      </c>
      <c r="J6" s="15">
        <v>10237822</v>
      </c>
      <c r="K6" s="15">
        <v>15737992</v>
      </c>
      <c r="L6" s="15">
        <v>11543825</v>
      </c>
      <c r="M6" s="15">
        <v>26361028</v>
      </c>
      <c r="N6" s="15">
        <v>22730548</v>
      </c>
      <c r="O6" s="15">
        <v>16470829</v>
      </c>
      <c r="P6" s="15">
        <v>14458390</v>
      </c>
      <c r="Q6" s="15">
        <v>12202286</v>
      </c>
      <c r="R6" s="15">
        <v>15306620</v>
      </c>
      <c r="S6" s="15">
        <v>18494890</v>
      </c>
      <c r="T6" s="16">
        <v>275993059</v>
      </c>
      <c r="U6" s="15">
        <v>13887867</v>
      </c>
      <c r="V6" s="15">
        <v>23001394</v>
      </c>
      <c r="W6" s="15">
        <v>28891433</v>
      </c>
      <c r="X6" s="16">
        <v>65780694</v>
      </c>
      <c r="Y6" s="16">
        <v>341773753</v>
      </c>
      <c r="Z6" s="15">
        <v>4629638</v>
      </c>
      <c r="AA6" s="15">
        <v>5104788</v>
      </c>
      <c r="AB6" s="15">
        <v>4561997</v>
      </c>
      <c r="AC6" s="15">
        <v>6049334</v>
      </c>
      <c r="AD6" s="15">
        <v>2184632</v>
      </c>
      <c r="AE6" s="15">
        <v>6457447</v>
      </c>
      <c r="AF6" s="15">
        <v>3092967</v>
      </c>
      <c r="AG6" s="16">
        <v>32080803</v>
      </c>
      <c r="AH6" s="16">
        <v>1974547</v>
      </c>
      <c r="AI6" s="17">
        <v>375829103</v>
      </c>
      <c r="AJ6" s="16">
        <v>254284661</v>
      </c>
      <c r="AK6" s="18">
        <v>0.4779857405555421</v>
      </c>
    </row>
    <row r="7" spans="1:37" s="19" customFormat="1" x14ac:dyDescent="0.3">
      <c r="A7" s="13" t="s">
        <v>134</v>
      </c>
      <c r="B7" s="14">
        <v>45934</v>
      </c>
      <c r="C7" s="15">
        <v>3162779</v>
      </c>
      <c r="D7" s="15">
        <v>20135375</v>
      </c>
      <c r="E7" s="15">
        <v>31401231</v>
      </c>
      <c r="F7" s="15">
        <v>24882706</v>
      </c>
      <c r="G7" s="15">
        <v>12555034</v>
      </c>
      <c r="H7" s="15">
        <v>10510691</v>
      </c>
      <c r="I7" s="15">
        <v>19484141</v>
      </c>
      <c r="J7" s="15">
        <v>7227591</v>
      </c>
      <c r="K7" s="15">
        <v>15990397</v>
      </c>
      <c r="L7" s="15">
        <v>13876263</v>
      </c>
      <c r="M7" s="15">
        <v>33527059</v>
      </c>
      <c r="N7" s="15">
        <v>27026156</v>
      </c>
      <c r="O7" s="15">
        <v>14875370</v>
      </c>
      <c r="P7" s="15">
        <v>18181862</v>
      </c>
      <c r="Q7" s="15">
        <v>19095212</v>
      </c>
      <c r="R7" s="15">
        <v>18537254</v>
      </c>
      <c r="S7" s="15">
        <v>28312726</v>
      </c>
      <c r="T7" s="16">
        <v>318781847</v>
      </c>
      <c r="U7" s="15">
        <v>19810834</v>
      </c>
      <c r="V7" s="15">
        <v>35746926</v>
      </c>
      <c r="W7" s="15">
        <v>35176671</v>
      </c>
      <c r="X7" s="16">
        <v>90734431</v>
      </c>
      <c r="Y7" s="16">
        <v>409516278</v>
      </c>
      <c r="Z7" s="15">
        <v>4800676</v>
      </c>
      <c r="AA7" s="15">
        <v>5007156</v>
      </c>
      <c r="AB7" s="15">
        <v>3387734</v>
      </c>
      <c r="AC7" s="15">
        <v>8944939</v>
      </c>
      <c r="AD7" s="15">
        <v>3528711</v>
      </c>
      <c r="AE7" s="15">
        <v>8578671</v>
      </c>
      <c r="AF7" s="15">
        <v>3191681</v>
      </c>
      <c r="AG7" s="16">
        <v>37439568</v>
      </c>
      <c r="AH7" s="16">
        <v>0</v>
      </c>
      <c r="AI7" s="17">
        <v>446955846</v>
      </c>
      <c r="AJ7" s="16">
        <v>292076742</v>
      </c>
      <c r="AK7" s="18">
        <v>0.53026852785149181</v>
      </c>
    </row>
    <row r="8" spans="1:37" x14ac:dyDescent="0.3">
      <c r="A8" s="13" t="s">
        <v>135</v>
      </c>
      <c r="B8" s="14">
        <v>45935</v>
      </c>
      <c r="C8" s="15">
        <v>0</v>
      </c>
      <c r="D8" s="15">
        <v>19469918</v>
      </c>
      <c r="E8" s="15">
        <v>32349266</v>
      </c>
      <c r="F8" s="15">
        <v>23286036</v>
      </c>
      <c r="G8" s="15">
        <v>16742373</v>
      </c>
      <c r="H8" s="15">
        <v>16652851</v>
      </c>
      <c r="I8" s="15">
        <v>17785988</v>
      </c>
      <c r="J8" s="15">
        <v>4554324</v>
      </c>
      <c r="K8" s="15">
        <v>16546213</v>
      </c>
      <c r="L8" s="15">
        <v>18574498</v>
      </c>
      <c r="M8" s="15">
        <v>31225562</v>
      </c>
      <c r="N8" s="15">
        <v>26508544</v>
      </c>
      <c r="O8" s="15">
        <v>14766892</v>
      </c>
      <c r="P8" s="15">
        <v>18188284</v>
      </c>
      <c r="Q8" s="15">
        <v>22741909</v>
      </c>
      <c r="R8" s="15">
        <v>20881717</v>
      </c>
      <c r="S8" s="15">
        <v>24383108</v>
      </c>
      <c r="T8" s="16">
        <v>324657483</v>
      </c>
      <c r="U8" s="15">
        <v>14393096</v>
      </c>
      <c r="V8" s="15">
        <v>31002496</v>
      </c>
      <c r="W8" s="15">
        <v>30605987</v>
      </c>
      <c r="X8" s="16">
        <v>76001579</v>
      </c>
      <c r="Y8" s="16">
        <v>400659062</v>
      </c>
      <c r="Z8" s="15">
        <v>4443110</v>
      </c>
      <c r="AA8" s="15">
        <v>4214136</v>
      </c>
      <c r="AB8" s="15">
        <v>2746513</v>
      </c>
      <c r="AC8" s="15">
        <v>7345606</v>
      </c>
      <c r="AD8" s="15">
        <v>3332033</v>
      </c>
      <c r="AE8" s="15">
        <v>7640070</v>
      </c>
      <c r="AF8" s="15">
        <v>2177482</v>
      </c>
      <c r="AG8" s="16">
        <v>31898950</v>
      </c>
      <c r="AH8" s="16">
        <v>0</v>
      </c>
      <c r="AI8" s="17">
        <v>432558012</v>
      </c>
      <c r="AJ8" s="16">
        <v>284789945</v>
      </c>
      <c r="AK8" s="18">
        <v>0.51886686870212362</v>
      </c>
    </row>
    <row r="9" spans="1:37" s="85" customFormat="1" x14ac:dyDescent="0.3">
      <c r="A9" s="83" t="s">
        <v>80</v>
      </c>
      <c r="B9" s="84"/>
      <c r="C9" s="85">
        <v>18340796</v>
      </c>
      <c r="D9" s="85">
        <v>81154911</v>
      </c>
      <c r="E9" s="85">
        <v>145615267</v>
      </c>
      <c r="F9" s="85">
        <v>97493737</v>
      </c>
      <c r="G9" s="85">
        <v>54357297</v>
      </c>
      <c r="H9" s="85">
        <v>79380107</v>
      </c>
      <c r="I9" s="85">
        <v>76338705</v>
      </c>
      <c r="J9" s="85">
        <v>42646918</v>
      </c>
      <c r="K9" s="85">
        <v>77958369</v>
      </c>
      <c r="L9" s="85">
        <v>64302451</v>
      </c>
      <c r="M9" s="85">
        <v>135950698</v>
      </c>
      <c r="N9" s="85">
        <v>105793146</v>
      </c>
      <c r="O9" s="85">
        <v>73422347</v>
      </c>
      <c r="P9" s="85">
        <v>68551680</v>
      </c>
      <c r="Q9" s="85">
        <v>74331954</v>
      </c>
      <c r="R9" s="85">
        <v>74698156</v>
      </c>
      <c r="S9" s="85">
        <v>100006433</v>
      </c>
      <c r="T9" s="86">
        <v>1370342972</v>
      </c>
      <c r="U9" s="85">
        <v>70248652</v>
      </c>
      <c r="V9" s="85">
        <v>129108381</v>
      </c>
      <c r="W9" s="85">
        <v>138875023</v>
      </c>
      <c r="X9" s="86">
        <v>338232056</v>
      </c>
      <c r="Y9" s="86">
        <v>1708575028</v>
      </c>
      <c r="Z9" s="85">
        <v>21721130</v>
      </c>
      <c r="AA9" s="85">
        <v>22474570</v>
      </c>
      <c r="AB9" s="85">
        <v>17926193</v>
      </c>
      <c r="AC9" s="85">
        <v>33644057</v>
      </c>
      <c r="AD9" s="85">
        <v>14541214</v>
      </c>
      <c r="AE9" s="85">
        <v>34636009</v>
      </c>
      <c r="AF9" s="85">
        <v>13751845</v>
      </c>
      <c r="AG9" s="86">
        <v>158695018</v>
      </c>
      <c r="AH9" s="86">
        <v>3063269</v>
      </c>
      <c r="AI9" s="87">
        <v>1870333315</v>
      </c>
      <c r="AJ9" s="86">
        <v>1238091109</v>
      </c>
      <c r="AK9" s="18">
        <v>0.51065886945158567</v>
      </c>
    </row>
    <row r="10" spans="1:37" s="19" customFormat="1" x14ac:dyDescent="0.3">
      <c r="A10" s="13" t="s">
        <v>136</v>
      </c>
      <c r="B10" s="14">
        <v>45936</v>
      </c>
      <c r="C10" s="15">
        <v>3049862</v>
      </c>
      <c r="D10" s="15">
        <v>11125955</v>
      </c>
      <c r="E10" s="15">
        <v>20658899</v>
      </c>
      <c r="F10" s="15">
        <v>9548615</v>
      </c>
      <c r="G10" s="15">
        <v>4515984</v>
      </c>
      <c r="H10" s="15">
        <v>18093246</v>
      </c>
      <c r="I10" s="15">
        <v>8765931</v>
      </c>
      <c r="J10" s="15">
        <v>7277050</v>
      </c>
      <c r="K10" s="15">
        <v>9752142</v>
      </c>
      <c r="L10" s="15">
        <v>8540769</v>
      </c>
      <c r="M10" s="15">
        <v>21422974</v>
      </c>
      <c r="N10" s="15">
        <v>16182882</v>
      </c>
      <c r="O10" s="15">
        <v>8875543</v>
      </c>
      <c r="P10" s="15">
        <v>9529560</v>
      </c>
      <c r="Q10" s="15">
        <v>7451385</v>
      </c>
      <c r="R10" s="15">
        <v>7987548</v>
      </c>
      <c r="S10" s="15">
        <v>13396718</v>
      </c>
      <c r="T10" s="16">
        <v>186175063</v>
      </c>
      <c r="U10" s="15">
        <v>7811761</v>
      </c>
      <c r="V10" s="15">
        <v>15750606</v>
      </c>
      <c r="W10" s="15">
        <v>17864811</v>
      </c>
      <c r="X10" s="16">
        <v>41427178</v>
      </c>
      <c r="Y10" s="16">
        <v>227602241</v>
      </c>
      <c r="Z10" s="15">
        <v>3091828</v>
      </c>
      <c r="AA10" s="15">
        <v>3283842</v>
      </c>
      <c r="AB10" s="15">
        <v>3142051</v>
      </c>
      <c r="AC10" s="15">
        <v>6328032</v>
      </c>
      <c r="AD10" s="15">
        <v>1761075</v>
      </c>
      <c r="AE10" s="15">
        <v>5110064</v>
      </c>
      <c r="AF10" s="15">
        <v>2892031</v>
      </c>
      <c r="AG10" s="16">
        <v>25608923</v>
      </c>
      <c r="AH10" s="16">
        <v>1331120</v>
      </c>
      <c r="AI10" s="17">
        <v>254542284</v>
      </c>
      <c r="AJ10" s="16">
        <v>171151945</v>
      </c>
      <c r="AK10" s="18">
        <v>0.48722986466791252</v>
      </c>
    </row>
    <row r="11" spans="1:37" x14ac:dyDescent="0.3">
      <c r="A11" s="13" t="s">
        <v>137</v>
      </c>
      <c r="B11" s="14">
        <v>45937</v>
      </c>
      <c r="C11" s="15">
        <v>4325279</v>
      </c>
      <c r="D11" s="15">
        <v>11382181</v>
      </c>
      <c r="E11" s="15">
        <v>24161186</v>
      </c>
      <c r="F11" s="15">
        <v>11748193</v>
      </c>
      <c r="G11" s="15">
        <v>5132098</v>
      </c>
      <c r="H11" s="15">
        <v>13020580</v>
      </c>
      <c r="I11" s="15">
        <v>8232581</v>
      </c>
      <c r="J11" s="15">
        <v>6989979</v>
      </c>
      <c r="K11" s="15">
        <v>13024439</v>
      </c>
      <c r="L11" s="15">
        <v>8019757</v>
      </c>
      <c r="M11" s="15">
        <v>23337122</v>
      </c>
      <c r="N11" s="15">
        <v>14392766</v>
      </c>
      <c r="O11" s="15">
        <v>13178931</v>
      </c>
      <c r="P11" s="15">
        <v>8649947</v>
      </c>
      <c r="Q11" s="15">
        <v>11032274</v>
      </c>
      <c r="R11" s="15">
        <v>11592389</v>
      </c>
      <c r="S11" s="15">
        <v>13798067</v>
      </c>
      <c r="T11" s="16">
        <v>202017769</v>
      </c>
      <c r="U11" s="15">
        <v>6849581</v>
      </c>
      <c r="V11" s="15">
        <v>19424249</v>
      </c>
      <c r="W11" s="15">
        <v>17118289</v>
      </c>
      <c r="X11" s="16">
        <v>43392119</v>
      </c>
      <c r="Y11" s="16">
        <v>245409888</v>
      </c>
      <c r="Z11" s="15">
        <v>3438638</v>
      </c>
      <c r="AA11" s="15">
        <v>4164619</v>
      </c>
      <c r="AB11" s="15">
        <v>3944289</v>
      </c>
      <c r="AC11" s="15">
        <v>6637841</v>
      </c>
      <c r="AD11" s="15">
        <v>2220562</v>
      </c>
      <c r="AE11" s="15">
        <v>5240874</v>
      </c>
      <c r="AF11" s="15">
        <v>2548883</v>
      </c>
      <c r="AG11" s="16">
        <v>28195706</v>
      </c>
      <c r="AH11" s="16">
        <v>444034</v>
      </c>
      <c r="AI11" s="17">
        <v>274049628</v>
      </c>
      <c r="AJ11" s="16">
        <v>199420688</v>
      </c>
      <c r="AK11" s="18">
        <v>0.37422867581321362</v>
      </c>
    </row>
    <row r="12" spans="1:37" x14ac:dyDescent="0.3">
      <c r="A12" s="13" t="s">
        <v>138</v>
      </c>
      <c r="B12" s="14">
        <v>45938</v>
      </c>
      <c r="C12" s="15">
        <v>4210100</v>
      </c>
      <c r="D12" s="15">
        <v>13165630</v>
      </c>
      <c r="E12" s="15">
        <v>23347442</v>
      </c>
      <c r="F12" s="15">
        <v>15327396</v>
      </c>
      <c r="G12" s="15">
        <v>5079401</v>
      </c>
      <c r="H12" s="15">
        <v>15976252</v>
      </c>
      <c r="I12" s="15">
        <v>9883655</v>
      </c>
      <c r="J12" s="15">
        <v>10759584</v>
      </c>
      <c r="K12" s="15">
        <v>11835161</v>
      </c>
      <c r="L12" s="15">
        <v>9845950</v>
      </c>
      <c r="M12" s="15">
        <v>20533200</v>
      </c>
      <c r="N12" s="15">
        <v>15245136</v>
      </c>
      <c r="O12" s="15">
        <v>11494406</v>
      </c>
      <c r="P12" s="15">
        <v>8854700</v>
      </c>
      <c r="Q12" s="15">
        <v>8435770</v>
      </c>
      <c r="R12" s="15">
        <v>9008232</v>
      </c>
      <c r="S12" s="15">
        <v>13619121</v>
      </c>
      <c r="T12" s="16">
        <v>206621136</v>
      </c>
      <c r="U12" s="15">
        <v>8900462</v>
      </c>
      <c r="V12" s="15">
        <v>14939305</v>
      </c>
      <c r="W12" s="15">
        <v>18952132</v>
      </c>
      <c r="X12" s="16">
        <v>42791899</v>
      </c>
      <c r="Y12" s="16">
        <v>249413035</v>
      </c>
      <c r="Z12" s="15">
        <v>3978631</v>
      </c>
      <c r="AA12" s="15">
        <v>4688759</v>
      </c>
      <c r="AB12" s="15">
        <v>3504101</v>
      </c>
      <c r="AC12" s="15">
        <v>6289523</v>
      </c>
      <c r="AD12" s="15">
        <v>2909706</v>
      </c>
      <c r="AE12" s="15">
        <v>5497215</v>
      </c>
      <c r="AF12" s="15">
        <v>2409305</v>
      </c>
      <c r="AG12" s="16">
        <v>29277240</v>
      </c>
      <c r="AH12" s="16">
        <v>75306</v>
      </c>
      <c r="AI12" s="17">
        <v>278765581</v>
      </c>
      <c r="AJ12" s="16">
        <v>213218864</v>
      </c>
      <c r="AK12" s="18">
        <v>0.30741518724159422</v>
      </c>
    </row>
    <row r="13" spans="1:37" x14ac:dyDescent="0.3">
      <c r="A13" s="13" t="s">
        <v>139</v>
      </c>
      <c r="B13" s="14">
        <v>45939</v>
      </c>
      <c r="C13" s="15">
        <v>4986900</v>
      </c>
      <c r="D13" s="15">
        <v>13761675</v>
      </c>
      <c r="E13" s="15">
        <v>24738395</v>
      </c>
      <c r="F13" s="15">
        <v>13432345</v>
      </c>
      <c r="G13" s="15">
        <v>4278702</v>
      </c>
      <c r="H13" s="15">
        <v>17326206</v>
      </c>
      <c r="I13" s="15">
        <v>11507189</v>
      </c>
      <c r="J13" s="15">
        <v>8434486</v>
      </c>
      <c r="K13" s="15">
        <v>16156520</v>
      </c>
      <c r="L13" s="15">
        <v>7732658</v>
      </c>
      <c r="M13" s="15">
        <v>21782051</v>
      </c>
      <c r="N13" s="15">
        <v>14525909</v>
      </c>
      <c r="O13" s="15">
        <v>14351699</v>
      </c>
      <c r="P13" s="15">
        <v>11253979</v>
      </c>
      <c r="Q13" s="15">
        <v>12812188</v>
      </c>
      <c r="R13" s="15">
        <v>10580628</v>
      </c>
      <c r="S13" s="15">
        <v>13321163</v>
      </c>
      <c r="T13" s="16">
        <v>220982693</v>
      </c>
      <c r="U13" s="15">
        <v>13122314</v>
      </c>
      <c r="V13" s="15">
        <v>17570450</v>
      </c>
      <c r="W13" s="15">
        <v>20219858</v>
      </c>
      <c r="X13" s="16">
        <v>50912622</v>
      </c>
      <c r="Y13" s="16">
        <v>271895315</v>
      </c>
      <c r="Z13" s="15">
        <v>3427609</v>
      </c>
      <c r="AA13" s="15">
        <v>3431465</v>
      </c>
      <c r="AB13" s="15">
        <v>3711093</v>
      </c>
      <c r="AC13" s="15">
        <v>7164785</v>
      </c>
      <c r="AD13" s="15">
        <v>2069168</v>
      </c>
      <c r="AE13" s="15">
        <v>5614111</v>
      </c>
      <c r="AF13" s="15">
        <v>2450685</v>
      </c>
      <c r="AG13" s="16">
        <v>27868916</v>
      </c>
      <c r="AH13" s="16">
        <v>180014</v>
      </c>
      <c r="AI13" s="17">
        <v>299944245</v>
      </c>
      <c r="AJ13" s="16">
        <v>201987514</v>
      </c>
      <c r="AK13" s="18">
        <v>0.48496428843616535</v>
      </c>
    </row>
    <row r="14" spans="1:37" x14ac:dyDescent="0.3">
      <c r="A14" s="13" t="s">
        <v>140</v>
      </c>
      <c r="B14" s="14">
        <v>45940</v>
      </c>
      <c r="C14" s="15">
        <v>5027229</v>
      </c>
      <c r="D14" s="15">
        <v>15598431</v>
      </c>
      <c r="E14" s="15">
        <v>29508539</v>
      </c>
      <c r="F14" s="15">
        <v>18690475</v>
      </c>
      <c r="G14" s="15">
        <v>5186482</v>
      </c>
      <c r="H14" s="15">
        <v>15345531</v>
      </c>
      <c r="I14" s="15">
        <v>15005283</v>
      </c>
      <c r="J14" s="15">
        <v>8591873</v>
      </c>
      <c r="K14" s="15">
        <v>16646599</v>
      </c>
      <c r="L14" s="15">
        <v>11039848</v>
      </c>
      <c r="M14" s="15">
        <v>25066108</v>
      </c>
      <c r="N14" s="15">
        <v>19454263</v>
      </c>
      <c r="O14" s="15">
        <v>13605880</v>
      </c>
      <c r="P14" s="15">
        <v>9480684</v>
      </c>
      <c r="Q14" s="15">
        <v>14437775</v>
      </c>
      <c r="R14" s="15">
        <v>14442301</v>
      </c>
      <c r="S14" s="15">
        <v>18192371</v>
      </c>
      <c r="T14" s="16">
        <v>255319672</v>
      </c>
      <c r="U14" s="15">
        <v>13201432</v>
      </c>
      <c r="V14" s="15">
        <v>23397170</v>
      </c>
      <c r="W14" s="15">
        <v>26793840</v>
      </c>
      <c r="X14" s="16">
        <v>63392442</v>
      </c>
      <c r="Y14" s="16">
        <v>318712114</v>
      </c>
      <c r="Z14" s="15">
        <v>4000438</v>
      </c>
      <c r="AA14" s="15">
        <v>5296047</v>
      </c>
      <c r="AB14" s="15">
        <v>4124780</v>
      </c>
      <c r="AC14" s="15">
        <v>7958807</v>
      </c>
      <c r="AD14" s="15">
        <v>2655140</v>
      </c>
      <c r="AE14" s="15">
        <v>6185995</v>
      </c>
      <c r="AF14" s="15">
        <v>2814894</v>
      </c>
      <c r="AG14" s="16">
        <v>33036101</v>
      </c>
      <c r="AH14" s="16">
        <v>5227873</v>
      </c>
      <c r="AI14" s="17">
        <v>356976088</v>
      </c>
      <c r="AJ14" s="16">
        <v>240142059</v>
      </c>
      <c r="AK14" s="18">
        <v>0.48652047661505216</v>
      </c>
    </row>
    <row r="15" spans="1:37" x14ac:dyDescent="0.3">
      <c r="A15" s="13" t="s">
        <v>141</v>
      </c>
      <c r="B15" s="14">
        <v>45941</v>
      </c>
      <c r="C15" s="15">
        <v>2357130</v>
      </c>
      <c r="D15" s="15">
        <v>17883758</v>
      </c>
      <c r="E15" s="15">
        <v>33470870</v>
      </c>
      <c r="F15" s="15">
        <v>21772564</v>
      </c>
      <c r="G15" s="15">
        <v>7744598</v>
      </c>
      <c r="H15" s="15">
        <v>12978101</v>
      </c>
      <c r="I15" s="15">
        <v>16669167</v>
      </c>
      <c r="J15" s="15">
        <v>6376487</v>
      </c>
      <c r="K15" s="15">
        <v>14704270</v>
      </c>
      <c r="L15" s="15">
        <v>13353934</v>
      </c>
      <c r="M15" s="15">
        <v>28372829</v>
      </c>
      <c r="N15" s="15">
        <v>22047455</v>
      </c>
      <c r="O15" s="15">
        <v>13030647</v>
      </c>
      <c r="P15" s="15">
        <v>12490486</v>
      </c>
      <c r="Q15" s="15">
        <v>17193930</v>
      </c>
      <c r="R15" s="15">
        <v>16189412</v>
      </c>
      <c r="S15" s="15">
        <v>22525860</v>
      </c>
      <c r="T15" s="16">
        <v>279161498</v>
      </c>
      <c r="U15" s="15">
        <v>16989323</v>
      </c>
      <c r="V15" s="15">
        <v>28751711</v>
      </c>
      <c r="W15" s="15">
        <v>29295317</v>
      </c>
      <c r="X15" s="16">
        <v>75036351</v>
      </c>
      <c r="Y15" s="16">
        <v>354197849</v>
      </c>
      <c r="Z15" s="15">
        <v>4356947</v>
      </c>
      <c r="AA15" s="15">
        <v>5024682</v>
      </c>
      <c r="AB15" s="15">
        <v>2770323</v>
      </c>
      <c r="AC15" s="15">
        <v>8580765</v>
      </c>
      <c r="AD15" s="15">
        <v>2795977</v>
      </c>
      <c r="AE15" s="15">
        <v>7826048</v>
      </c>
      <c r="AF15" s="15">
        <v>3340561</v>
      </c>
      <c r="AG15" s="16">
        <v>34695303</v>
      </c>
      <c r="AH15" s="16">
        <v>0</v>
      </c>
      <c r="AI15" s="17">
        <v>388893152</v>
      </c>
      <c r="AJ15" s="16">
        <v>268218102</v>
      </c>
      <c r="AK15" s="18">
        <v>0.4499138913450369</v>
      </c>
    </row>
    <row r="16" spans="1:37" s="19" customFormat="1" x14ac:dyDescent="0.3">
      <c r="A16" s="13" t="s">
        <v>142</v>
      </c>
      <c r="B16" s="14">
        <v>45942</v>
      </c>
      <c r="C16" s="15">
        <v>0</v>
      </c>
      <c r="D16" s="15">
        <v>18471304</v>
      </c>
      <c r="E16" s="15">
        <v>34013286</v>
      </c>
      <c r="F16" s="15">
        <v>26684333</v>
      </c>
      <c r="G16" s="15">
        <v>14024361</v>
      </c>
      <c r="H16" s="15">
        <v>11038008</v>
      </c>
      <c r="I16" s="15">
        <v>14774673</v>
      </c>
      <c r="J16" s="15">
        <v>5684721</v>
      </c>
      <c r="K16" s="15">
        <v>16829124</v>
      </c>
      <c r="L16" s="15">
        <v>13005763</v>
      </c>
      <c r="M16" s="15">
        <v>29340834</v>
      </c>
      <c r="N16" s="15">
        <v>24525314</v>
      </c>
      <c r="O16" s="15">
        <v>13960949</v>
      </c>
      <c r="P16" s="15">
        <v>13773768</v>
      </c>
      <c r="Q16" s="15">
        <v>25578192</v>
      </c>
      <c r="R16" s="15">
        <v>16917973</v>
      </c>
      <c r="S16" s="15">
        <v>23545700</v>
      </c>
      <c r="T16" s="16">
        <v>302168303</v>
      </c>
      <c r="U16" s="15">
        <v>16470787</v>
      </c>
      <c r="V16" s="15">
        <v>33227767</v>
      </c>
      <c r="W16" s="15">
        <v>30517759</v>
      </c>
      <c r="X16" s="16">
        <v>80216313</v>
      </c>
      <c r="Y16" s="16">
        <v>382384616</v>
      </c>
      <c r="Z16" s="15">
        <v>4159835</v>
      </c>
      <c r="AA16" s="15">
        <v>4505541</v>
      </c>
      <c r="AB16" s="15">
        <v>3164395</v>
      </c>
      <c r="AC16" s="15">
        <v>8126633</v>
      </c>
      <c r="AD16" s="15">
        <v>2659258</v>
      </c>
      <c r="AE16" s="15">
        <v>7940679</v>
      </c>
      <c r="AF16" s="15">
        <v>1962726</v>
      </c>
      <c r="AG16" s="16">
        <v>32519067</v>
      </c>
      <c r="AH16" s="16">
        <v>-127222</v>
      </c>
      <c r="AI16" s="17">
        <v>414776461</v>
      </c>
      <c r="AJ16" s="16">
        <v>256821859</v>
      </c>
      <c r="AK16" s="18">
        <v>0.61503566174248436</v>
      </c>
    </row>
    <row r="17" spans="1:37" s="85" customFormat="1" x14ac:dyDescent="0.3">
      <c r="A17" s="83" t="s">
        <v>88</v>
      </c>
      <c r="B17" s="84"/>
      <c r="C17" s="85">
        <v>23956500</v>
      </c>
      <c r="D17" s="85">
        <v>101388934</v>
      </c>
      <c r="E17" s="85">
        <v>189898617</v>
      </c>
      <c r="F17" s="85">
        <v>117203921</v>
      </c>
      <c r="G17" s="85">
        <v>45961626</v>
      </c>
      <c r="H17" s="85">
        <v>103777924</v>
      </c>
      <c r="I17" s="85">
        <v>84838479</v>
      </c>
      <c r="J17" s="85">
        <v>54114180</v>
      </c>
      <c r="K17" s="85">
        <v>98948255</v>
      </c>
      <c r="L17" s="85">
        <v>71538679</v>
      </c>
      <c r="M17" s="85">
        <v>169855118</v>
      </c>
      <c r="N17" s="85">
        <v>126373725</v>
      </c>
      <c r="O17" s="85">
        <v>88498055</v>
      </c>
      <c r="P17" s="85">
        <v>74033124</v>
      </c>
      <c r="Q17" s="85">
        <v>96941514</v>
      </c>
      <c r="R17" s="85">
        <v>86718483</v>
      </c>
      <c r="S17" s="85">
        <v>118399000</v>
      </c>
      <c r="T17" s="86">
        <v>1652446134</v>
      </c>
      <c r="U17" s="85">
        <v>83345660</v>
      </c>
      <c r="V17" s="85">
        <v>153061258</v>
      </c>
      <c r="W17" s="85">
        <v>160762006</v>
      </c>
      <c r="X17" s="86">
        <v>397168924</v>
      </c>
      <c r="Y17" s="86">
        <v>2049615058</v>
      </c>
      <c r="Z17" s="85">
        <v>26453926</v>
      </c>
      <c r="AA17" s="85">
        <v>30394955</v>
      </c>
      <c r="AB17" s="85">
        <v>24361032</v>
      </c>
      <c r="AC17" s="85">
        <v>51086386</v>
      </c>
      <c r="AD17" s="85">
        <v>17070886</v>
      </c>
      <c r="AE17" s="85">
        <v>43414986</v>
      </c>
      <c r="AF17" s="85">
        <v>18419085</v>
      </c>
      <c r="AG17" s="86">
        <v>211201256</v>
      </c>
      <c r="AH17" s="86">
        <v>7131125</v>
      </c>
      <c r="AI17" s="87">
        <v>2267947439</v>
      </c>
      <c r="AJ17" s="86">
        <v>1550961031</v>
      </c>
      <c r="AK17" s="18">
        <v>0.46228525002830967</v>
      </c>
    </row>
    <row r="18" spans="1:37" x14ac:dyDescent="0.3">
      <c r="A18" s="13" t="s">
        <v>143</v>
      </c>
      <c r="B18" s="14">
        <v>45943</v>
      </c>
      <c r="C18" s="15">
        <v>0</v>
      </c>
      <c r="D18" s="15">
        <v>15012520</v>
      </c>
      <c r="E18" s="15">
        <v>30940520</v>
      </c>
      <c r="F18" s="15">
        <v>17491363</v>
      </c>
      <c r="G18" s="15">
        <v>12266267</v>
      </c>
      <c r="H18" s="15">
        <v>11248730</v>
      </c>
      <c r="I18" s="15">
        <v>15153227</v>
      </c>
      <c r="J18" s="15">
        <v>3849907</v>
      </c>
      <c r="K18" s="15">
        <v>11272080</v>
      </c>
      <c r="L18" s="15">
        <v>11499821</v>
      </c>
      <c r="M18" s="15">
        <v>26343611</v>
      </c>
      <c r="N18" s="15">
        <v>20681344</v>
      </c>
      <c r="O18" s="15">
        <v>11210763</v>
      </c>
      <c r="P18" s="15">
        <v>12492920</v>
      </c>
      <c r="Q18" s="15">
        <v>18802142</v>
      </c>
      <c r="R18" s="15">
        <v>15671339</v>
      </c>
      <c r="S18" s="15">
        <v>20815490</v>
      </c>
      <c r="T18" s="16">
        <v>254752044</v>
      </c>
      <c r="U18" s="15">
        <v>12764765</v>
      </c>
      <c r="V18" s="15">
        <v>28867590</v>
      </c>
      <c r="W18" s="15">
        <v>25617238</v>
      </c>
      <c r="X18" s="16">
        <v>67249593</v>
      </c>
      <c r="Y18" s="16">
        <v>322001637</v>
      </c>
      <c r="Z18" s="15">
        <v>3070791</v>
      </c>
      <c r="AA18" s="15">
        <v>4419649</v>
      </c>
      <c r="AB18" s="15">
        <v>2726827</v>
      </c>
      <c r="AC18" s="15">
        <v>6347975</v>
      </c>
      <c r="AD18" s="15">
        <v>3142178</v>
      </c>
      <c r="AE18" s="15">
        <v>7286971</v>
      </c>
      <c r="AF18" s="15">
        <v>1224583</v>
      </c>
      <c r="AG18" s="16">
        <v>28218974</v>
      </c>
      <c r="AH18" s="16">
        <v>0</v>
      </c>
      <c r="AI18" s="17">
        <v>350220611</v>
      </c>
      <c r="AJ18" s="16">
        <v>232803040</v>
      </c>
      <c r="AK18" s="18">
        <v>0.50436442324808128</v>
      </c>
    </row>
    <row r="19" spans="1:37" x14ac:dyDescent="0.3">
      <c r="A19" s="13" t="s">
        <v>144</v>
      </c>
      <c r="B19" s="14">
        <v>45944</v>
      </c>
      <c r="C19" s="15">
        <v>4231481</v>
      </c>
      <c r="D19" s="15">
        <v>11319498</v>
      </c>
      <c r="E19" s="15">
        <v>19191575</v>
      </c>
      <c r="F19" s="15">
        <v>8980024</v>
      </c>
      <c r="G19" s="15">
        <v>4206530</v>
      </c>
      <c r="H19" s="15">
        <v>13989873</v>
      </c>
      <c r="I19" s="15">
        <v>8822771</v>
      </c>
      <c r="J19" s="15">
        <v>13312907</v>
      </c>
      <c r="K19" s="15">
        <v>11949935</v>
      </c>
      <c r="L19" s="15">
        <v>8575994</v>
      </c>
      <c r="M19" s="15">
        <v>16607206</v>
      </c>
      <c r="N19" s="15">
        <v>13246720</v>
      </c>
      <c r="O19" s="15">
        <v>9758768</v>
      </c>
      <c r="P19" s="15">
        <v>9521527</v>
      </c>
      <c r="Q19" s="15">
        <v>9145299</v>
      </c>
      <c r="R19" s="15">
        <v>5573217</v>
      </c>
      <c r="S19" s="15">
        <v>12740736</v>
      </c>
      <c r="T19" s="16">
        <v>181174061</v>
      </c>
      <c r="U19" s="15">
        <v>6617136</v>
      </c>
      <c r="V19" s="15">
        <v>8865230</v>
      </c>
      <c r="W19" s="15">
        <v>14564239</v>
      </c>
      <c r="X19" s="16">
        <v>30046605</v>
      </c>
      <c r="Y19" s="16">
        <v>211220666</v>
      </c>
      <c r="Z19" s="15">
        <v>2803515</v>
      </c>
      <c r="AA19" s="15">
        <v>3713897</v>
      </c>
      <c r="AB19" s="15">
        <v>2665225</v>
      </c>
      <c r="AC19" s="15">
        <v>4868890</v>
      </c>
      <c r="AD19" s="15">
        <v>2416389</v>
      </c>
      <c r="AE19" s="15">
        <v>4173398</v>
      </c>
      <c r="AF19" s="15">
        <v>3195714</v>
      </c>
      <c r="AG19" s="16">
        <v>23837028</v>
      </c>
      <c r="AH19" s="16">
        <v>115570</v>
      </c>
      <c r="AI19" s="17">
        <v>235173264</v>
      </c>
      <c r="AJ19" s="16">
        <v>163065935</v>
      </c>
      <c r="AK19" s="18">
        <v>0.44219737862478747</v>
      </c>
    </row>
    <row r="20" spans="1:37" x14ac:dyDescent="0.3">
      <c r="A20" s="13" t="s">
        <v>145</v>
      </c>
      <c r="B20" s="14">
        <v>45945</v>
      </c>
      <c r="C20" s="15">
        <v>5284010</v>
      </c>
      <c r="D20" s="15">
        <v>11251340</v>
      </c>
      <c r="E20" s="15">
        <v>21121890</v>
      </c>
      <c r="F20" s="15">
        <v>13126137</v>
      </c>
      <c r="G20" s="15">
        <v>5468360</v>
      </c>
      <c r="H20" s="15">
        <v>17730783</v>
      </c>
      <c r="I20" s="15">
        <v>10741771</v>
      </c>
      <c r="J20" s="15">
        <v>12833488</v>
      </c>
      <c r="K20" s="15">
        <v>11986254</v>
      </c>
      <c r="L20" s="15">
        <v>9942270</v>
      </c>
      <c r="M20" s="15">
        <v>18431364</v>
      </c>
      <c r="N20" s="15">
        <v>14696973</v>
      </c>
      <c r="O20" s="15">
        <v>11588547</v>
      </c>
      <c r="P20" s="15">
        <v>7388584</v>
      </c>
      <c r="Q20" s="15">
        <v>11223936</v>
      </c>
      <c r="R20" s="15">
        <v>6434581</v>
      </c>
      <c r="S20" s="15">
        <v>13803634</v>
      </c>
      <c r="T20" s="16">
        <v>203053922</v>
      </c>
      <c r="U20" s="15">
        <v>8059521</v>
      </c>
      <c r="V20" s="15">
        <v>12248957</v>
      </c>
      <c r="W20" s="15">
        <v>21004541</v>
      </c>
      <c r="X20" s="16">
        <v>41313019</v>
      </c>
      <c r="Y20" s="16">
        <v>244366941</v>
      </c>
      <c r="Z20" s="15">
        <v>3137359</v>
      </c>
      <c r="AA20" s="15">
        <v>4097477</v>
      </c>
      <c r="AB20" s="15">
        <v>3111056</v>
      </c>
      <c r="AC20" s="15">
        <v>5533487</v>
      </c>
      <c r="AD20" s="15">
        <v>2121820</v>
      </c>
      <c r="AE20" s="15">
        <v>4576536</v>
      </c>
      <c r="AF20" s="15">
        <v>2346109</v>
      </c>
      <c r="AG20" s="16">
        <v>24923844</v>
      </c>
      <c r="AH20" s="16">
        <v>840826</v>
      </c>
      <c r="AI20" s="17">
        <v>270131611</v>
      </c>
      <c r="AJ20" s="16">
        <v>267106425</v>
      </c>
      <c r="AK20" s="18">
        <v>1.1325770243078237E-2</v>
      </c>
    </row>
    <row r="21" spans="1:37" s="19" customFormat="1" ht="15.75" customHeight="1" x14ac:dyDescent="0.3">
      <c r="A21" s="13" t="s">
        <v>146</v>
      </c>
      <c r="B21" s="14">
        <v>45946</v>
      </c>
      <c r="C21" s="15">
        <v>5980286</v>
      </c>
      <c r="D21" s="15">
        <v>12396333</v>
      </c>
      <c r="E21" s="15">
        <v>28622805</v>
      </c>
      <c r="F21" s="15">
        <v>11845478</v>
      </c>
      <c r="G21" s="15">
        <v>7014252</v>
      </c>
      <c r="H21" s="15">
        <v>18620050</v>
      </c>
      <c r="I21" s="15">
        <v>13781881</v>
      </c>
      <c r="J21" s="15">
        <v>13720347</v>
      </c>
      <c r="K21" s="15">
        <v>13507027</v>
      </c>
      <c r="L21" s="15">
        <v>11940865</v>
      </c>
      <c r="M21" s="15">
        <v>19230517</v>
      </c>
      <c r="N21" s="15">
        <v>15153331</v>
      </c>
      <c r="O21" s="15">
        <v>15231722</v>
      </c>
      <c r="P21" s="15">
        <v>9316208</v>
      </c>
      <c r="Q21" s="15">
        <v>11405811</v>
      </c>
      <c r="R21" s="15">
        <v>12145714</v>
      </c>
      <c r="S21" s="15">
        <v>17248521</v>
      </c>
      <c r="T21" s="16">
        <v>237161148</v>
      </c>
      <c r="U21" s="15">
        <v>10899124</v>
      </c>
      <c r="V21" s="15">
        <v>16110882</v>
      </c>
      <c r="W21" s="15">
        <v>19500902</v>
      </c>
      <c r="X21" s="16">
        <v>46510908</v>
      </c>
      <c r="Y21" s="16">
        <v>283672056</v>
      </c>
      <c r="Z21" s="15">
        <v>4348364</v>
      </c>
      <c r="AA21" s="15">
        <v>3927660</v>
      </c>
      <c r="AB21" s="15">
        <v>3610135</v>
      </c>
      <c r="AC21" s="15">
        <v>6523925</v>
      </c>
      <c r="AD21" s="15">
        <v>1982250</v>
      </c>
      <c r="AE21" s="15">
        <v>5776778</v>
      </c>
      <c r="AF21" s="15">
        <v>2707309</v>
      </c>
      <c r="AG21" s="16">
        <v>28876421</v>
      </c>
      <c r="AH21" s="16">
        <v>57296</v>
      </c>
      <c r="AI21" s="17">
        <v>312605773</v>
      </c>
      <c r="AJ21" s="16">
        <v>193028512</v>
      </c>
      <c r="AK21" s="18">
        <v>0.61947978441651141</v>
      </c>
    </row>
    <row r="22" spans="1:37" s="19" customFormat="1" x14ac:dyDescent="0.3">
      <c r="A22" s="13" t="s">
        <v>147</v>
      </c>
      <c r="B22" s="14">
        <v>45947</v>
      </c>
      <c r="C22" s="15">
        <v>5918938</v>
      </c>
      <c r="D22" s="15">
        <v>14264434</v>
      </c>
      <c r="E22" s="15">
        <v>25683503</v>
      </c>
      <c r="F22" s="15">
        <v>17614968</v>
      </c>
      <c r="G22" s="15">
        <v>6671983</v>
      </c>
      <c r="H22" s="15">
        <v>18442613</v>
      </c>
      <c r="I22" s="15">
        <v>9836977</v>
      </c>
      <c r="J22" s="15">
        <v>12180156</v>
      </c>
      <c r="K22" s="15">
        <v>15278447</v>
      </c>
      <c r="L22" s="15">
        <v>13372667</v>
      </c>
      <c r="M22" s="15">
        <v>24767206</v>
      </c>
      <c r="N22" s="15">
        <v>20715871</v>
      </c>
      <c r="O22" s="15">
        <v>15957544</v>
      </c>
      <c r="P22" s="15">
        <v>10614522</v>
      </c>
      <c r="Q22" s="15">
        <v>12501764</v>
      </c>
      <c r="R22" s="15">
        <v>10975135</v>
      </c>
      <c r="S22" s="15">
        <v>18807415</v>
      </c>
      <c r="T22" s="16">
        <v>253604143</v>
      </c>
      <c r="U22" s="15">
        <v>15512441</v>
      </c>
      <c r="V22" s="15">
        <v>27444443</v>
      </c>
      <c r="W22" s="15">
        <v>28419683</v>
      </c>
      <c r="X22" s="16">
        <v>71376567</v>
      </c>
      <c r="Y22" s="16">
        <v>324980710</v>
      </c>
      <c r="Z22" s="15">
        <v>3969756</v>
      </c>
      <c r="AA22" s="15">
        <v>4333558</v>
      </c>
      <c r="AB22" s="15">
        <v>3969272</v>
      </c>
      <c r="AC22" s="15">
        <v>6952904</v>
      </c>
      <c r="AD22" s="15">
        <v>1639262</v>
      </c>
      <c r="AE22" s="15">
        <v>5873247</v>
      </c>
      <c r="AF22" s="15">
        <v>3061794</v>
      </c>
      <c r="AG22" s="16">
        <v>29799793</v>
      </c>
      <c r="AH22" s="16">
        <v>1395729</v>
      </c>
      <c r="AI22" s="17">
        <v>356176232</v>
      </c>
      <c r="AJ22" s="16">
        <v>250869812</v>
      </c>
      <c r="AK22" s="18">
        <v>0.41976521272316325</v>
      </c>
    </row>
    <row r="23" spans="1:37" x14ac:dyDescent="0.3">
      <c r="A23" s="13" t="s">
        <v>148</v>
      </c>
      <c r="B23" s="14">
        <v>45948</v>
      </c>
      <c r="C23" s="15">
        <v>3278913</v>
      </c>
      <c r="D23" s="15">
        <v>21391191</v>
      </c>
      <c r="E23" s="15">
        <v>38131677</v>
      </c>
      <c r="F23" s="15">
        <v>19994307</v>
      </c>
      <c r="G23" s="15">
        <v>11207774</v>
      </c>
      <c r="H23" s="15">
        <v>12390286</v>
      </c>
      <c r="I23" s="15">
        <v>20210774</v>
      </c>
      <c r="J23" s="15">
        <v>5819536</v>
      </c>
      <c r="K23" s="15">
        <v>17031411</v>
      </c>
      <c r="L23" s="15">
        <v>16418698</v>
      </c>
      <c r="M23" s="15">
        <v>33787874</v>
      </c>
      <c r="N23" s="15">
        <v>23019623</v>
      </c>
      <c r="O23" s="15">
        <v>15666203</v>
      </c>
      <c r="P23" s="15">
        <v>19106851</v>
      </c>
      <c r="Q23" s="15">
        <v>18547215</v>
      </c>
      <c r="R23" s="15">
        <v>15410408</v>
      </c>
      <c r="S23" s="15">
        <v>26819718</v>
      </c>
      <c r="T23" s="16">
        <v>318232459</v>
      </c>
      <c r="U23" s="15">
        <v>19473669</v>
      </c>
      <c r="V23" s="15">
        <v>38118129</v>
      </c>
      <c r="W23" s="15">
        <v>32368300</v>
      </c>
      <c r="X23" s="16">
        <v>89960098</v>
      </c>
      <c r="Y23" s="16">
        <v>408192557</v>
      </c>
      <c r="Z23" s="15">
        <v>4922734</v>
      </c>
      <c r="AA23" s="15">
        <v>5148899</v>
      </c>
      <c r="AB23" s="15">
        <v>3237015</v>
      </c>
      <c r="AC23" s="15">
        <v>8398043</v>
      </c>
      <c r="AD23" s="15">
        <v>3432176</v>
      </c>
      <c r="AE23" s="15">
        <v>7470507</v>
      </c>
      <c r="AF23" s="15">
        <v>2926551</v>
      </c>
      <c r="AG23" s="16">
        <v>35535925</v>
      </c>
      <c r="AH23" s="16">
        <v>645373</v>
      </c>
      <c r="AI23" s="17">
        <v>444373855</v>
      </c>
      <c r="AJ23" s="16">
        <v>294311868</v>
      </c>
      <c r="AK23" s="18">
        <v>0.50987405985272738</v>
      </c>
    </row>
    <row r="24" spans="1:37" x14ac:dyDescent="0.3">
      <c r="A24" s="13" t="s">
        <v>149</v>
      </c>
      <c r="B24" s="14">
        <v>45949</v>
      </c>
      <c r="C24" s="15">
        <v>0</v>
      </c>
      <c r="D24" s="15">
        <v>20784673</v>
      </c>
      <c r="E24" s="15">
        <v>32515282</v>
      </c>
      <c r="F24" s="15">
        <v>24168717</v>
      </c>
      <c r="G24" s="15">
        <v>15653104</v>
      </c>
      <c r="H24" s="15">
        <v>14488518</v>
      </c>
      <c r="I24" s="15">
        <v>15884000</v>
      </c>
      <c r="J24" s="15">
        <v>5791641</v>
      </c>
      <c r="K24" s="15">
        <v>16162874</v>
      </c>
      <c r="L24" s="15">
        <v>16587827</v>
      </c>
      <c r="M24" s="15">
        <v>29173406</v>
      </c>
      <c r="N24" s="15">
        <v>23446758</v>
      </c>
      <c r="O24" s="15">
        <v>15709166</v>
      </c>
      <c r="P24" s="15">
        <v>16205496</v>
      </c>
      <c r="Q24" s="15">
        <v>20462201</v>
      </c>
      <c r="R24" s="15">
        <v>19283044</v>
      </c>
      <c r="S24" s="15">
        <v>23464715</v>
      </c>
      <c r="T24" s="16">
        <v>309781422</v>
      </c>
      <c r="U24" s="15">
        <v>14731808</v>
      </c>
      <c r="V24" s="15">
        <v>31069349</v>
      </c>
      <c r="W24" s="15">
        <v>30776943</v>
      </c>
      <c r="X24" s="16">
        <v>76578100</v>
      </c>
      <c r="Y24" s="16">
        <v>386359522</v>
      </c>
      <c r="Z24" s="15">
        <v>3847597</v>
      </c>
      <c r="AA24" s="15">
        <v>5367203</v>
      </c>
      <c r="AB24" s="15">
        <v>3626949</v>
      </c>
      <c r="AC24" s="15">
        <v>7785867</v>
      </c>
      <c r="AD24" s="15">
        <v>2941116</v>
      </c>
      <c r="AE24" s="15">
        <v>6342331</v>
      </c>
      <c r="AF24" s="15">
        <v>2404823</v>
      </c>
      <c r="AG24" s="16">
        <v>32315886</v>
      </c>
      <c r="AH24" s="16">
        <v>0</v>
      </c>
      <c r="AI24" s="17">
        <v>418675408</v>
      </c>
      <c r="AJ24" s="16">
        <v>287623936</v>
      </c>
      <c r="AK24" s="18">
        <v>0.45563479111835803</v>
      </c>
    </row>
    <row r="25" spans="1:37" s="85" customFormat="1" x14ac:dyDescent="0.3">
      <c r="A25" s="83" t="s">
        <v>96</v>
      </c>
      <c r="B25" s="84"/>
      <c r="C25" s="85">
        <v>24693628</v>
      </c>
      <c r="D25" s="85">
        <v>106419989</v>
      </c>
      <c r="E25" s="85">
        <v>196207252</v>
      </c>
      <c r="F25" s="85">
        <v>113220994</v>
      </c>
      <c r="G25" s="85">
        <v>62488270</v>
      </c>
      <c r="H25" s="85">
        <v>106910853</v>
      </c>
      <c r="I25" s="85">
        <v>94431401</v>
      </c>
      <c r="J25" s="85">
        <v>67507982</v>
      </c>
      <c r="K25" s="85">
        <v>97188028</v>
      </c>
      <c r="L25" s="85">
        <v>88338142</v>
      </c>
      <c r="M25" s="85">
        <v>168341184</v>
      </c>
      <c r="N25" s="85">
        <v>130960620</v>
      </c>
      <c r="O25" s="85">
        <v>95122713</v>
      </c>
      <c r="P25" s="85">
        <v>84646108</v>
      </c>
      <c r="Q25" s="85">
        <v>102088368</v>
      </c>
      <c r="R25" s="85">
        <v>85493438</v>
      </c>
      <c r="S25" s="85">
        <v>133700229</v>
      </c>
      <c r="T25" s="86">
        <v>1757759199</v>
      </c>
      <c r="U25" s="85">
        <v>88058464</v>
      </c>
      <c r="V25" s="85">
        <v>162724580</v>
      </c>
      <c r="W25" s="85">
        <v>172251846</v>
      </c>
      <c r="X25" s="86">
        <v>423034890</v>
      </c>
      <c r="Y25" s="86">
        <v>2180794089</v>
      </c>
      <c r="Z25" s="85">
        <v>26100116</v>
      </c>
      <c r="AA25" s="85">
        <v>31008343</v>
      </c>
      <c r="AB25" s="85">
        <v>22946479</v>
      </c>
      <c r="AC25" s="85">
        <v>46411091</v>
      </c>
      <c r="AD25" s="85">
        <v>17675191</v>
      </c>
      <c r="AE25" s="85">
        <v>41499768</v>
      </c>
      <c r="AF25" s="85">
        <v>17866883</v>
      </c>
      <c r="AG25" s="86">
        <v>203507871</v>
      </c>
      <c r="AH25" s="86">
        <v>3054794</v>
      </c>
      <c r="AI25" s="87">
        <v>2387356754</v>
      </c>
      <c r="AJ25" s="86">
        <v>1688809528</v>
      </c>
      <c r="AK25" s="18">
        <v>0.41363292569012544</v>
      </c>
    </row>
    <row r="26" spans="1:37" s="19" customFormat="1" x14ac:dyDescent="0.3">
      <c r="A26" s="13" t="s">
        <v>150</v>
      </c>
      <c r="B26" s="14">
        <v>45950</v>
      </c>
      <c r="C26" s="15">
        <v>3158424</v>
      </c>
      <c r="D26" s="15">
        <v>7676660</v>
      </c>
      <c r="E26" s="15">
        <v>17495649</v>
      </c>
      <c r="F26" s="15">
        <v>12523734</v>
      </c>
      <c r="G26" s="15">
        <v>4513303</v>
      </c>
      <c r="H26" s="15">
        <v>13211621</v>
      </c>
      <c r="I26" s="15">
        <v>9612828</v>
      </c>
      <c r="J26" s="15">
        <v>7435963</v>
      </c>
      <c r="K26" s="15">
        <v>10233414</v>
      </c>
      <c r="L26" s="15">
        <v>6433094</v>
      </c>
      <c r="M26" s="15">
        <v>17706803</v>
      </c>
      <c r="N26" s="15">
        <v>14003660</v>
      </c>
      <c r="O26" s="15">
        <v>11706726</v>
      </c>
      <c r="P26" s="15">
        <v>7800342</v>
      </c>
      <c r="Q26" s="15">
        <v>10025619</v>
      </c>
      <c r="R26" s="15">
        <v>7958982</v>
      </c>
      <c r="S26" s="15">
        <v>10371758</v>
      </c>
      <c r="T26" s="16">
        <v>171868580</v>
      </c>
      <c r="U26" s="15">
        <v>9922636</v>
      </c>
      <c r="V26" s="15">
        <v>13784721</v>
      </c>
      <c r="W26" s="15">
        <v>16577081</v>
      </c>
      <c r="X26" s="16">
        <v>40284438</v>
      </c>
      <c r="Y26" s="16">
        <v>212153018</v>
      </c>
      <c r="Z26" s="15">
        <v>2577399</v>
      </c>
      <c r="AA26" s="15">
        <v>3199660</v>
      </c>
      <c r="AB26" s="15">
        <v>3260526</v>
      </c>
      <c r="AC26" s="15">
        <v>5732739</v>
      </c>
      <c r="AD26" s="15">
        <v>2119126</v>
      </c>
      <c r="AE26" s="15">
        <v>4710665</v>
      </c>
      <c r="AF26" s="15">
        <v>2578490</v>
      </c>
      <c r="AG26" s="16">
        <v>24178605</v>
      </c>
      <c r="AH26" s="16">
        <v>273294</v>
      </c>
      <c r="AI26" s="17">
        <v>236604917</v>
      </c>
      <c r="AJ26" s="16">
        <v>165617706</v>
      </c>
      <c r="AK26" s="18">
        <v>0.42862090482040616</v>
      </c>
    </row>
    <row r="27" spans="1:37" x14ac:dyDescent="0.3">
      <c r="A27" s="13" t="s">
        <v>151</v>
      </c>
      <c r="B27" s="14">
        <v>45951</v>
      </c>
      <c r="C27" s="15">
        <v>4995649</v>
      </c>
      <c r="D27" s="15">
        <v>9524710</v>
      </c>
      <c r="E27" s="15">
        <v>21957410</v>
      </c>
      <c r="F27" s="15">
        <v>13111428</v>
      </c>
      <c r="G27" s="15">
        <v>6566025</v>
      </c>
      <c r="H27" s="15">
        <v>13202824</v>
      </c>
      <c r="I27" s="15">
        <v>8369834</v>
      </c>
      <c r="J27" s="15">
        <v>11233270</v>
      </c>
      <c r="K27" s="15">
        <v>12219452</v>
      </c>
      <c r="L27" s="15">
        <v>9161058</v>
      </c>
      <c r="M27" s="15">
        <v>12909069</v>
      </c>
      <c r="N27" s="15">
        <v>12391187</v>
      </c>
      <c r="O27" s="15">
        <v>11903143</v>
      </c>
      <c r="P27" s="15">
        <v>6908509</v>
      </c>
      <c r="Q27" s="15">
        <v>9480621</v>
      </c>
      <c r="R27" s="15">
        <v>8964718</v>
      </c>
      <c r="S27" s="15">
        <v>11702598</v>
      </c>
      <c r="T27" s="16">
        <v>184601505</v>
      </c>
      <c r="U27" s="15">
        <v>9441593</v>
      </c>
      <c r="V27" s="15">
        <v>15696717</v>
      </c>
      <c r="W27" s="15">
        <v>17580750</v>
      </c>
      <c r="X27" s="16">
        <v>42719060</v>
      </c>
      <c r="Y27" s="16">
        <v>227320565</v>
      </c>
      <c r="Z27" s="15">
        <v>3603632</v>
      </c>
      <c r="AA27" s="15">
        <v>3664444</v>
      </c>
      <c r="AB27" s="15">
        <v>3605284</v>
      </c>
      <c r="AC27" s="15">
        <v>5100387</v>
      </c>
      <c r="AD27" s="15">
        <v>1899395</v>
      </c>
      <c r="AE27" s="15">
        <v>4720298</v>
      </c>
      <c r="AF27" s="15">
        <v>2615716</v>
      </c>
      <c r="AG27" s="16">
        <v>25209156</v>
      </c>
      <c r="AH27" s="16">
        <v>60000</v>
      </c>
      <c r="AI27" s="17">
        <v>252589721</v>
      </c>
      <c r="AJ27" s="16">
        <v>190802815</v>
      </c>
      <c r="AK27" s="18">
        <v>0.32382596661375262</v>
      </c>
    </row>
    <row r="28" spans="1:37" x14ac:dyDescent="0.3">
      <c r="A28" s="13" t="s">
        <v>152</v>
      </c>
      <c r="B28" s="14">
        <v>45952</v>
      </c>
      <c r="C28" s="15">
        <v>4483887</v>
      </c>
      <c r="D28" s="15">
        <v>9930990</v>
      </c>
      <c r="E28" s="15">
        <v>24631894</v>
      </c>
      <c r="F28" s="15">
        <v>12376820</v>
      </c>
      <c r="G28" s="15">
        <v>6968450</v>
      </c>
      <c r="H28" s="15">
        <v>15635464</v>
      </c>
      <c r="I28" s="15">
        <v>8642725</v>
      </c>
      <c r="J28" s="15">
        <v>12035128</v>
      </c>
      <c r="K28" s="15">
        <v>10383634</v>
      </c>
      <c r="L28" s="15">
        <v>9848453</v>
      </c>
      <c r="M28" s="15">
        <v>18259781</v>
      </c>
      <c r="N28" s="15">
        <v>11845179</v>
      </c>
      <c r="O28" s="15">
        <v>14332358</v>
      </c>
      <c r="P28" s="15">
        <v>7416807</v>
      </c>
      <c r="Q28" s="15">
        <v>8218016</v>
      </c>
      <c r="R28" s="15">
        <v>8025703</v>
      </c>
      <c r="S28" s="15">
        <v>13574466</v>
      </c>
      <c r="T28" s="16">
        <v>196609755</v>
      </c>
      <c r="U28" s="15">
        <v>11964675</v>
      </c>
      <c r="V28" s="15">
        <v>11842180</v>
      </c>
      <c r="W28" s="15">
        <v>17550552</v>
      </c>
      <c r="X28" s="16">
        <v>41357407</v>
      </c>
      <c r="Y28" s="16">
        <v>237967162</v>
      </c>
      <c r="Z28" s="15">
        <v>3055477</v>
      </c>
      <c r="AA28" s="15">
        <v>3498402</v>
      </c>
      <c r="AB28" s="15">
        <v>3622046</v>
      </c>
      <c r="AC28" s="15">
        <v>6677167</v>
      </c>
      <c r="AD28" s="15">
        <v>1918337</v>
      </c>
      <c r="AE28" s="15">
        <v>4398937</v>
      </c>
      <c r="AF28" s="15">
        <v>2881894</v>
      </c>
      <c r="AG28" s="16">
        <v>26052260</v>
      </c>
      <c r="AH28" s="16">
        <v>0</v>
      </c>
      <c r="AI28" s="17">
        <v>264019422</v>
      </c>
      <c r="AJ28" s="16">
        <v>201289769</v>
      </c>
      <c r="AK28" s="18">
        <v>0.31163855625468972</v>
      </c>
    </row>
    <row r="29" spans="1:37" x14ac:dyDescent="0.3">
      <c r="A29" s="13" t="s">
        <v>153</v>
      </c>
      <c r="B29" s="14">
        <v>45953</v>
      </c>
      <c r="C29" s="15">
        <v>5404541</v>
      </c>
      <c r="D29" s="15">
        <v>11389173</v>
      </c>
      <c r="E29" s="15">
        <v>24622307</v>
      </c>
      <c r="F29" s="15">
        <v>14850892</v>
      </c>
      <c r="G29" s="15">
        <v>6346896</v>
      </c>
      <c r="H29" s="15">
        <v>16386575</v>
      </c>
      <c r="I29" s="15">
        <v>10757865</v>
      </c>
      <c r="J29" s="15">
        <v>9382932</v>
      </c>
      <c r="K29" s="15">
        <v>14748710</v>
      </c>
      <c r="L29" s="15">
        <v>10862775</v>
      </c>
      <c r="M29" s="15">
        <v>16752958</v>
      </c>
      <c r="N29" s="15">
        <v>15243288</v>
      </c>
      <c r="O29" s="15">
        <v>14442236</v>
      </c>
      <c r="P29" s="15">
        <v>7619997</v>
      </c>
      <c r="Q29" s="15">
        <v>9370742</v>
      </c>
      <c r="R29" s="15">
        <v>9296619</v>
      </c>
      <c r="S29" s="15">
        <v>15254119</v>
      </c>
      <c r="T29" s="16">
        <v>212732625</v>
      </c>
      <c r="U29" s="15">
        <v>11738960</v>
      </c>
      <c r="V29" s="15">
        <v>16692590</v>
      </c>
      <c r="W29" s="15">
        <v>17819850</v>
      </c>
      <c r="X29" s="16">
        <v>46251400</v>
      </c>
      <c r="Y29" s="16">
        <v>258984025</v>
      </c>
      <c r="Z29" s="15">
        <v>3475202</v>
      </c>
      <c r="AA29" s="15">
        <v>4310585</v>
      </c>
      <c r="AB29" s="15">
        <v>3756568</v>
      </c>
      <c r="AC29" s="15">
        <v>5292684</v>
      </c>
      <c r="AD29" s="15">
        <v>1883610</v>
      </c>
      <c r="AE29" s="15">
        <v>5001637</v>
      </c>
      <c r="AF29" s="15">
        <v>2523217</v>
      </c>
      <c r="AG29" s="16">
        <v>26243503</v>
      </c>
      <c r="AH29" s="16">
        <v>-2335561</v>
      </c>
      <c r="AI29" s="17">
        <v>282891967</v>
      </c>
      <c r="AJ29" s="16">
        <v>216522199</v>
      </c>
      <c r="AK29" s="18">
        <v>0.30652638993380998</v>
      </c>
    </row>
    <row r="30" spans="1:37" s="19" customFormat="1" x14ac:dyDescent="0.3">
      <c r="A30" s="13" t="s">
        <v>154</v>
      </c>
      <c r="B30" s="14">
        <v>45954</v>
      </c>
      <c r="C30" s="15">
        <v>4452458</v>
      </c>
      <c r="D30" s="15">
        <v>13943908</v>
      </c>
      <c r="E30" s="15">
        <v>27007080</v>
      </c>
      <c r="F30" s="15">
        <v>18287702</v>
      </c>
      <c r="G30" s="15">
        <v>7911071</v>
      </c>
      <c r="H30" s="15">
        <v>19134072</v>
      </c>
      <c r="I30" s="15">
        <v>10461362</v>
      </c>
      <c r="J30" s="15">
        <v>8458999</v>
      </c>
      <c r="K30" s="15">
        <v>16414888</v>
      </c>
      <c r="L30" s="15">
        <v>15603652</v>
      </c>
      <c r="M30" s="15">
        <v>21041217</v>
      </c>
      <c r="N30" s="15">
        <v>15437345</v>
      </c>
      <c r="O30" s="15">
        <v>14126826</v>
      </c>
      <c r="P30" s="15">
        <v>9354374</v>
      </c>
      <c r="Q30" s="15">
        <v>11617078</v>
      </c>
      <c r="R30" s="15">
        <v>9867289</v>
      </c>
      <c r="S30" s="15">
        <v>16902519</v>
      </c>
      <c r="T30" s="16">
        <v>240021840</v>
      </c>
      <c r="U30" s="15">
        <v>16231719</v>
      </c>
      <c r="V30" s="15">
        <v>27909627</v>
      </c>
      <c r="W30" s="15">
        <v>26551574</v>
      </c>
      <c r="X30" s="16">
        <v>70692920</v>
      </c>
      <c r="Y30" s="16">
        <v>310714760</v>
      </c>
      <c r="Z30" s="15">
        <v>4022744</v>
      </c>
      <c r="AA30" s="15">
        <v>4170200</v>
      </c>
      <c r="AB30" s="15">
        <v>3734008</v>
      </c>
      <c r="AC30" s="15">
        <v>5763525</v>
      </c>
      <c r="AD30" s="15">
        <v>2157268</v>
      </c>
      <c r="AE30" s="15">
        <v>5259555</v>
      </c>
      <c r="AF30" s="15">
        <v>3309562</v>
      </c>
      <c r="AG30" s="16">
        <v>28416862</v>
      </c>
      <c r="AH30" s="16">
        <v>296944</v>
      </c>
      <c r="AI30" s="17">
        <v>339428566</v>
      </c>
      <c r="AJ30" s="16">
        <v>257838735</v>
      </c>
      <c r="AK30" s="18">
        <v>0.31643744684056108</v>
      </c>
    </row>
    <row r="31" spans="1:37" x14ac:dyDescent="0.3">
      <c r="A31" s="13" t="s">
        <v>155</v>
      </c>
      <c r="B31" s="14">
        <v>45955</v>
      </c>
      <c r="C31" s="15">
        <v>3442086</v>
      </c>
      <c r="D31" s="15">
        <v>20898549</v>
      </c>
      <c r="E31" s="15">
        <v>33187445</v>
      </c>
      <c r="F31" s="15">
        <v>25631082</v>
      </c>
      <c r="G31" s="15">
        <v>12799560</v>
      </c>
      <c r="H31" s="15">
        <v>12578269</v>
      </c>
      <c r="I31" s="15">
        <v>18761437</v>
      </c>
      <c r="J31" s="15">
        <v>6203423</v>
      </c>
      <c r="K31" s="15">
        <v>18482617</v>
      </c>
      <c r="L31" s="15">
        <v>17435149</v>
      </c>
      <c r="M31" s="15">
        <v>30865648</v>
      </c>
      <c r="N31" s="15">
        <v>26800580</v>
      </c>
      <c r="O31" s="15">
        <v>14675797</v>
      </c>
      <c r="P31" s="15">
        <v>17237368</v>
      </c>
      <c r="Q31" s="15">
        <v>20409626</v>
      </c>
      <c r="R31" s="15">
        <v>17736461</v>
      </c>
      <c r="S31" s="15">
        <v>24618862</v>
      </c>
      <c r="T31" s="16">
        <v>321763959</v>
      </c>
      <c r="U31" s="15">
        <v>18038373</v>
      </c>
      <c r="V31" s="15">
        <v>36344719</v>
      </c>
      <c r="W31" s="15">
        <v>33406699</v>
      </c>
      <c r="X31" s="16">
        <v>87789791</v>
      </c>
      <c r="Y31" s="16">
        <v>409553750</v>
      </c>
      <c r="Z31" s="15">
        <v>5264561</v>
      </c>
      <c r="AA31" s="15">
        <v>5578597</v>
      </c>
      <c r="AB31" s="15">
        <v>4029643</v>
      </c>
      <c r="AC31" s="15">
        <v>8948482</v>
      </c>
      <c r="AD31" s="15">
        <v>3063986</v>
      </c>
      <c r="AE31" s="15">
        <v>7093686</v>
      </c>
      <c r="AF31" s="15">
        <v>3483497</v>
      </c>
      <c r="AG31" s="16">
        <v>37462452</v>
      </c>
      <c r="AH31" s="16">
        <v>0</v>
      </c>
      <c r="AI31" s="17">
        <v>447016202</v>
      </c>
      <c r="AJ31" s="16">
        <v>305322189</v>
      </c>
      <c r="AK31" s="18">
        <v>0.46408029977801579</v>
      </c>
    </row>
    <row r="32" spans="1:37" x14ac:dyDescent="0.3">
      <c r="A32" s="13" t="s">
        <v>156</v>
      </c>
      <c r="B32" s="14">
        <v>45956</v>
      </c>
      <c r="C32" s="15">
        <v>0</v>
      </c>
      <c r="D32" s="15">
        <v>19258957</v>
      </c>
      <c r="E32" s="15">
        <v>30094352</v>
      </c>
      <c r="F32" s="15">
        <v>22494574</v>
      </c>
      <c r="G32" s="15">
        <v>12702848</v>
      </c>
      <c r="H32" s="15">
        <v>14241507</v>
      </c>
      <c r="I32" s="15">
        <v>15402381</v>
      </c>
      <c r="J32" s="15">
        <v>4170933</v>
      </c>
      <c r="K32" s="15">
        <v>15643725</v>
      </c>
      <c r="L32" s="15">
        <v>16749568</v>
      </c>
      <c r="M32" s="15">
        <v>26949687</v>
      </c>
      <c r="N32" s="15">
        <v>18547571</v>
      </c>
      <c r="O32" s="15">
        <v>14072600</v>
      </c>
      <c r="P32" s="15">
        <v>16518931</v>
      </c>
      <c r="Q32" s="15">
        <v>23412714</v>
      </c>
      <c r="R32" s="15">
        <v>18839818</v>
      </c>
      <c r="S32" s="15">
        <v>21348423</v>
      </c>
      <c r="T32" s="16">
        <v>290448589</v>
      </c>
      <c r="U32" s="15">
        <v>15691416</v>
      </c>
      <c r="V32" s="15">
        <v>31125055</v>
      </c>
      <c r="W32" s="15">
        <v>29987735</v>
      </c>
      <c r="X32" s="16">
        <v>76804206</v>
      </c>
      <c r="Y32" s="16">
        <v>367252795</v>
      </c>
      <c r="Z32" s="15">
        <v>4123095</v>
      </c>
      <c r="AA32" s="15">
        <v>4430939</v>
      </c>
      <c r="AB32" s="15">
        <v>2599389</v>
      </c>
      <c r="AC32" s="15">
        <v>7059381</v>
      </c>
      <c r="AD32" s="15">
        <v>3048720</v>
      </c>
      <c r="AE32" s="15">
        <v>6649238</v>
      </c>
      <c r="AF32" s="15">
        <v>2680988</v>
      </c>
      <c r="AG32" s="16">
        <v>30591750</v>
      </c>
      <c r="AH32" s="16">
        <v>0</v>
      </c>
      <c r="AI32" s="17">
        <v>397844545</v>
      </c>
      <c r="AJ32" s="16">
        <v>297745944</v>
      </c>
      <c r="AK32" s="18">
        <v>0.33618795828164161</v>
      </c>
    </row>
    <row r="33" spans="1:38" s="85" customFormat="1" x14ac:dyDescent="0.3">
      <c r="A33" s="83" t="s">
        <v>104</v>
      </c>
      <c r="B33" s="84"/>
      <c r="C33" s="85">
        <v>25937045</v>
      </c>
      <c r="D33" s="85">
        <v>92622947</v>
      </c>
      <c r="E33" s="85">
        <v>178996137</v>
      </c>
      <c r="F33" s="85">
        <v>119276232</v>
      </c>
      <c r="G33" s="85">
        <v>57808153</v>
      </c>
      <c r="H33" s="85">
        <v>104390332</v>
      </c>
      <c r="I33" s="85">
        <v>82008432</v>
      </c>
      <c r="J33" s="85">
        <v>58920648</v>
      </c>
      <c r="K33" s="85">
        <v>98126440</v>
      </c>
      <c r="L33" s="85">
        <v>86093749</v>
      </c>
      <c r="M33" s="85">
        <v>144485163</v>
      </c>
      <c r="N33" s="85">
        <v>114268810</v>
      </c>
      <c r="O33" s="85">
        <v>95259686</v>
      </c>
      <c r="P33" s="85">
        <v>72856328</v>
      </c>
      <c r="Q33" s="85">
        <v>92534416</v>
      </c>
      <c r="R33" s="85">
        <v>80689590</v>
      </c>
      <c r="S33" s="85">
        <v>113772745</v>
      </c>
      <c r="T33" s="86">
        <v>1618046853</v>
      </c>
      <c r="U33" s="85">
        <v>93029372</v>
      </c>
      <c r="V33" s="85">
        <v>153395609</v>
      </c>
      <c r="W33" s="85">
        <v>159474241</v>
      </c>
      <c r="X33" s="86">
        <v>405899222</v>
      </c>
      <c r="Y33" s="86">
        <v>2023946075</v>
      </c>
      <c r="Z33" s="85">
        <v>26122110</v>
      </c>
      <c r="AA33" s="85">
        <v>28852827</v>
      </c>
      <c r="AB33" s="85">
        <v>24607464</v>
      </c>
      <c r="AC33" s="85">
        <v>44574365</v>
      </c>
      <c r="AD33" s="85">
        <v>16090442</v>
      </c>
      <c r="AE33" s="85">
        <v>37834016</v>
      </c>
      <c r="AF33" s="85">
        <v>20073364</v>
      </c>
      <c r="AG33" s="86">
        <v>198154588</v>
      </c>
      <c r="AH33" s="86">
        <v>-1705323</v>
      </c>
      <c r="AI33" s="87">
        <v>2220395340</v>
      </c>
      <c r="AJ33" s="88">
        <v>1635139357</v>
      </c>
      <c r="AK33" s="18">
        <v>0.35792422247958888</v>
      </c>
    </row>
    <row r="34" spans="1:38" s="19" customFormat="1" x14ac:dyDescent="0.3">
      <c r="A34" s="13" t="s">
        <v>157</v>
      </c>
      <c r="B34" s="14">
        <v>45957</v>
      </c>
      <c r="C34" s="15">
        <v>4193012</v>
      </c>
      <c r="D34" s="15">
        <v>8276668</v>
      </c>
      <c r="E34" s="15">
        <v>20695488</v>
      </c>
      <c r="F34" s="15">
        <v>12684273</v>
      </c>
      <c r="G34" s="15">
        <v>5287661</v>
      </c>
      <c r="H34" s="15">
        <v>12874978</v>
      </c>
      <c r="I34" s="15">
        <v>10240500</v>
      </c>
      <c r="J34" s="15">
        <v>6808114</v>
      </c>
      <c r="K34" s="15">
        <v>11575967</v>
      </c>
      <c r="L34" s="15">
        <v>8472794</v>
      </c>
      <c r="M34" s="15">
        <v>18475640</v>
      </c>
      <c r="N34" s="15">
        <v>13625455</v>
      </c>
      <c r="O34" s="15">
        <v>12383495</v>
      </c>
      <c r="P34" s="15">
        <v>7379684</v>
      </c>
      <c r="Q34" s="15">
        <v>12190742</v>
      </c>
      <c r="R34" s="15">
        <v>6145370</v>
      </c>
      <c r="S34" s="15">
        <v>13393305</v>
      </c>
      <c r="T34" s="16">
        <v>184703146</v>
      </c>
      <c r="U34" s="15">
        <v>7471950</v>
      </c>
      <c r="V34" s="15">
        <v>13555976</v>
      </c>
      <c r="W34" s="15">
        <v>16044919</v>
      </c>
      <c r="X34" s="16">
        <v>37072845</v>
      </c>
      <c r="Y34" s="16">
        <v>221775991</v>
      </c>
      <c r="Z34" s="15">
        <v>2534145</v>
      </c>
      <c r="AA34" s="15">
        <v>3306179</v>
      </c>
      <c r="AB34" s="15">
        <v>3144980</v>
      </c>
      <c r="AC34" s="15">
        <v>4110179</v>
      </c>
      <c r="AD34" s="15">
        <v>2249249</v>
      </c>
      <c r="AE34" s="15">
        <v>4699223</v>
      </c>
      <c r="AF34" s="15">
        <v>2599397</v>
      </c>
      <c r="AG34" s="16">
        <v>22643352</v>
      </c>
      <c r="AH34" s="16">
        <v>826100</v>
      </c>
      <c r="AI34" s="17">
        <v>245245443</v>
      </c>
      <c r="AJ34" s="16">
        <v>165505544</v>
      </c>
      <c r="AK34" s="18">
        <v>0.48179593911367702</v>
      </c>
    </row>
    <row r="35" spans="1:38" s="19" customFormat="1" x14ac:dyDescent="0.3">
      <c r="A35" s="13" t="s">
        <v>158</v>
      </c>
      <c r="B35" s="14">
        <v>45958</v>
      </c>
      <c r="C35" s="15">
        <v>4790973</v>
      </c>
      <c r="D35" s="15">
        <v>7608125</v>
      </c>
      <c r="E35" s="15">
        <v>18347256</v>
      </c>
      <c r="F35" s="15">
        <v>11597488</v>
      </c>
      <c r="G35" s="15">
        <v>5661118</v>
      </c>
      <c r="H35" s="15">
        <v>14427089</v>
      </c>
      <c r="I35" s="15">
        <v>9513726</v>
      </c>
      <c r="J35" s="15">
        <v>10021362</v>
      </c>
      <c r="K35" s="15">
        <v>12699638</v>
      </c>
      <c r="L35" s="15">
        <v>8404172</v>
      </c>
      <c r="M35" s="15">
        <v>15342272</v>
      </c>
      <c r="N35" s="15">
        <v>13324663</v>
      </c>
      <c r="O35" s="15">
        <v>13699235</v>
      </c>
      <c r="P35" s="15">
        <v>8569456</v>
      </c>
      <c r="Q35" s="15">
        <v>8283854</v>
      </c>
      <c r="R35" s="15">
        <v>4086621</v>
      </c>
      <c r="S35" s="15">
        <v>13383613</v>
      </c>
      <c r="T35" s="16">
        <v>179760661</v>
      </c>
      <c r="U35" s="15">
        <v>8227690</v>
      </c>
      <c r="V35" s="15">
        <v>14196469</v>
      </c>
      <c r="W35" s="15">
        <v>19024757</v>
      </c>
      <c r="X35" s="16">
        <v>41448916</v>
      </c>
      <c r="Y35" s="16">
        <v>221209577</v>
      </c>
      <c r="Z35" s="15">
        <v>2339663</v>
      </c>
      <c r="AA35" s="15">
        <v>4170453</v>
      </c>
      <c r="AB35" s="15">
        <v>4029381</v>
      </c>
      <c r="AC35" s="15">
        <v>5146436</v>
      </c>
      <c r="AD35" s="15">
        <v>1913795</v>
      </c>
      <c r="AE35" s="15">
        <v>5182809</v>
      </c>
      <c r="AF35" s="15">
        <v>2197426</v>
      </c>
      <c r="AG35" s="16">
        <v>24979963</v>
      </c>
      <c r="AH35" s="16">
        <v>3205266</v>
      </c>
      <c r="AI35" s="17">
        <v>249394806</v>
      </c>
      <c r="AJ35" s="16">
        <v>191257743</v>
      </c>
      <c r="AK35" s="18">
        <v>0.30397233642979882</v>
      </c>
      <c r="AL35" s="26"/>
    </row>
    <row r="36" spans="1:38" s="19" customFormat="1" x14ac:dyDescent="0.3">
      <c r="A36" s="13" t="s">
        <v>159</v>
      </c>
      <c r="B36" s="14">
        <v>45959</v>
      </c>
      <c r="C36" s="15">
        <v>5786854</v>
      </c>
      <c r="D36" s="15">
        <v>8254922</v>
      </c>
      <c r="E36" s="15">
        <v>24398735</v>
      </c>
      <c r="F36" s="15">
        <v>14695268</v>
      </c>
      <c r="G36" s="15">
        <v>4624329</v>
      </c>
      <c r="H36" s="15">
        <v>16982582</v>
      </c>
      <c r="I36" s="15">
        <v>8575164</v>
      </c>
      <c r="J36" s="15">
        <v>11856346</v>
      </c>
      <c r="K36" s="15">
        <v>12903998</v>
      </c>
      <c r="L36" s="15">
        <v>10158366</v>
      </c>
      <c r="M36" s="15">
        <v>17633587</v>
      </c>
      <c r="N36" s="15">
        <v>13373225</v>
      </c>
      <c r="O36" s="15">
        <v>12530585</v>
      </c>
      <c r="P36" s="15">
        <v>7513574</v>
      </c>
      <c r="Q36" s="15">
        <v>10435342</v>
      </c>
      <c r="R36" s="15">
        <v>9489354</v>
      </c>
      <c r="S36" s="15">
        <v>12977179</v>
      </c>
      <c r="T36" s="16">
        <v>202189410</v>
      </c>
      <c r="U36" s="15">
        <v>10736419</v>
      </c>
      <c r="V36" s="15">
        <v>14018386</v>
      </c>
      <c r="W36" s="15">
        <v>18681025</v>
      </c>
      <c r="X36" s="16">
        <v>43435830</v>
      </c>
      <c r="Y36" s="16">
        <v>245625240</v>
      </c>
      <c r="Z36" s="15">
        <v>2844324</v>
      </c>
      <c r="AA36" s="15">
        <v>3718046</v>
      </c>
      <c r="AB36" s="15">
        <v>3868886</v>
      </c>
      <c r="AC36" s="15">
        <v>6446233</v>
      </c>
      <c r="AD36" s="15">
        <v>2018852</v>
      </c>
      <c r="AE36" s="15">
        <v>5265439</v>
      </c>
      <c r="AF36" s="15">
        <v>3015925</v>
      </c>
      <c r="AG36" s="16">
        <v>27177705</v>
      </c>
      <c r="AH36" s="16">
        <v>1690567</v>
      </c>
      <c r="AI36" s="17">
        <v>274493512</v>
      </c>
      <c r="AJ36" s="16">
        <v>201947028</v>
      </c>
      <c r="AK36" s="18">
        <v>0.35923521489011456</v>
      </c>
      <c r="AL36" s="26"/>
    </row>
    <row r="37" spans="1:38" s="19" customFormat="1" x14ac:dyDescent="0.3">
      <c r="A37" s="13" t="s">
        <v>160</v>
      </c>
      <c r="B37" s="14">
        <v>45960</v>
      </c>
      <c r="C37" s="15">
        <v>5569399</v>
      </c>
      <c r="D37" s="15">
        <v>12878843</v>
      </c>
      <c r="E37" s="15">
        <v>24388042</v>
      </c>
      <c r="F37" s="15">
        <v>16064262</v>
      </c>
      <c r="G37" s="15">
        <v>6224377</v>
      </c>
      <c r="H37" s="15">
        <v>16747128</v>
      </c>
      <c r="I37" s="15">
        <v>11453267</v>
      </c>
      <c r="J37" s="15">
        <v>12354300</v>
      </c>
      <c r="K37" s="15">
        <v>13186861</v>
      </c>
      <c r="L37" s="15">
        <v>9207172</v>
      </c>
      <c r="M37" s="15">
        <v>20611604</v>
      </c>
      <c r="N37" s="15">
        <v>14358497</v>
      </c>
      <c r="O37" s="15">
        <v>13914910</v>
      </c>
      <c r="P37" s="15">
        <v>10082381</v>
      </c>
      <c r="Q37" s="15">
        <v>8629756</v>
      </c>
      <c r="R37" s="15">
        <v>9219487</v>
      </c>
      <c r="S37" s="15">
        <v>17924285</v>
      </c>
      <c r="T37" s="16">
        <v>222814571</v>
      </c>
      <c r="U37" s="15">
        <v>8971406</v>
      </c>
      <c r="V37" s="15">
        <v>18624116</v>
      </c>
      <c r="W37" s="15">
        <v>23061227</v>
      </c>
      <c r="X37" s="16">
        <v>50656749</v>
      </c>
      <c r="Y37" s="16">
        <v>273471320</v>
      </c>
      <c r="Z37" s="15">
        <v>4120120</v>
      </c>
      <c r="AA37" s="15">
        <v>3735104</v>
      </c>
      <c r="AB37" s="15">
        <v>3791901</v>
      </c>
      <c r="AC37" s="15">
        <v>6244483</v>
      </c>
      <c r="AD37" s="15">
        <v>2649405</v>
      </c>
      <c r="AE37" s="15">
        <v>5418288</v>
      </c>
      <c r="AF37" s="15">
        <v>3796354</v>
      </c>
      <c r="AG37" s="16">
        <v>29755655</v>
      </c>
      <c r="AH37" s="16">
        <v>1760782</v>
      </c>
      <c r="AI37" s="17">
        <v>304987757</v>
      </c>
      <c r="AJ37" s="16">
        <v>248701229</v>
      </c>
      <c r="AK37" s="18">
        <v>0.22632187314201002</v>
      </c>
      <c r="AL37" s="26"/>
    </row>
    <row r="38" spans="1:38" s="19" customFormat="1" x14ac:dyDescent="0.3">
      <c r="A38" s="13" t="s">
        <v>161</v>
      </c>
      <c r="B38" s="14">
        <v>45961</v>
      </c>
      <c r="C38" s="15">
        <v>4313662</v>
      </c>
      <c r="D38" s="15">
        <v>14529845</v>
      </c>
      <c r="E38" s="15">
        <v>35557352</v>
      </c>
      <c r="F38" s="15">
        <v>19192262</v>
      </c>
      <c r="G38" s="15">
        <v>1449281</v>
      </c>
      <c r="H38" s="15">
        <v>11276878</v>
      </c>
      <c r="I38" s="15">
        <v>15946365</v>
      </c>
      <c r="J38" s="15">
        <v>9027380</v>
      </c>
      <c r="K38" s="15">
        <v>15788813</v>
      </c>
      <c r="L38" s="15">
        <v>13596909</v>
      </c>
      <c r="M38" s="15">
        <v>19126040</v>
      </c>
      <c r="N38" s="15">
        <v>17342109</v>
      </c>
      <c r="O38" s="15">
        <v>14474594</v>
      </c>
      <c r="P38" s="15">
        <v>16477501</v>
      </c>
      <c r="Q38" s="15">
        <v>11951153</v>
      </c>
      <c r="R38" s="15">
        <v>19899585</v>
      </c>
      <c r="S38" s="15">
        <v>17737764</v>
      </c>
      <c r="T38" s="16">
        <v>257687493</v>
      </c>
      <c r="U38" s="15">
        <v>11103466</v>
      </c>
      <c r="V38" s="15">
        <v>26861962</v>
      </c>
      <c r="W38" s="15">
        <v>21976827</v>
      </c>
      <c r="X38" s="16">
        <v>59942255</v>
      </c>
      <c r="Y38" s="16">
        <v>317629748</v>
      </c>
      <c r="Z38" s="15">
        <v>4148059</v>
      </c>
      <c r="AA38" s="15">
        <v>6120864</v>
      </c>
      <c r="AB38" s="15">
        <v>3351472</v>
      </c>
      <c r="AC38" s="15">
        <v>6385276</v>
      </c>
      <c r="AD38" s="15">
        <v>2567102</v>
      </c>
      <c r="AE38" s="15">
        <v>5075439</v>
      </c>
      <c r="AF38" s="15">
        <v>1750710</v>
      </c>
      <c r="AG38" s="16">
        <v>29398922</v>
      </c>
      <c r="AH38" s="16">
        <v>44283794</v>
      </c>
      <c r="AI38" s="17">
        <v>391312464</v>
      </c>
      <c r="AJ38" s="16">
        <v>0</v>
      </c>
      <c r="AK38" s="18">
        <v>0</v>
      </c>
      <c r="AL38" s="26"/>
    </row>
    <row r="39" spans="1:38" s="85" customFormat="1" x14ac:dyDescent="0.3">
      <c r="A39" s="83" t="s">
        <v>111</v>
      </c>
      <c r="B39" s="84"/>
      <c r="C39" s="85">
        <v>24653900</v>
      </c>
      <c r="D39" s="85">
        <v>51548403</v>
      </c>
      <c r="E39" s="85">
        <v>123386873</v>
      </c>
      <c r="F39" s="85">
        <v>74233553</v>
      </c>
      <c r="G39" s="85">
        <v>23246766</v>
      </c>
      <c r="H39" s="85">
        <v>72308655</v>
      </c>
      <c r="I39" s="85">
        <v>55729022</v>
      </c>
      <c r="J39" s="85">
        <v>50067502</v>
      </c>
      <c r="K39" s="85">
        <v>66155277</v>
      </c>
      <c r="L39" s="85">
        <v>49839413</v>
      </c>
      <c r="M39" s="85">
        <v>91189143</v>
      </c>
      <c r="N39" s="85">
        <v>72023949</v>
      </c>
      <c r="O39" s="85">
        <v>67002819</v>
      </c>
      <c r="P39" s="85">
        <v>50022596</v>
      </c>
      <c r="Q39" s="85">
        <v>51490847</v>
      </c>
      <c r="R39" s="85">
        <v>48840417</v>
      </c>
      <c r="S39" s="85">
        <v>75416146</v>
      </c>
      <c r="T39" s="86">
        <v>1047155281</v>
      </c>
      <c r="U39" s="85">
        <v>46510931</v>
      </c>
      <c r="V39" s="85">
        <v>87256909</v>
      </c>
      <c r="W39" s="85">
        <v>98788755</v>
      </c>
      <c r="X39" s="86">
        <v>232556595</v>
      </c>
      <c r="Y39" s="86">
        <v>1279711876</v>
      </c>
      <c r="Z39" s="85">
        <v>15986311</v>
      </c>
      <c r="AA39" s="85">
        <v>21050646</v>
      </c>
      <c r="AB39" s="85">
        <v>18186620</v>
      </c>
      <c r="AC39" s="85">
        <v>28332607</v>
      </c>
      <c r="AD39" s="85">
        <v>11398403</v>
      </c>
      <c r="AE39" s="85">
        <v>25641198</v>
      </c>
      <c r="AF39" s="85">
        <v>13359812</v>
      </c>
      <c r="AG39" s="86">
        <v>133955597</v>
      </c>
      <c r="AH39" s="86">
        <v>51766509</v>
      </c>
      <c r="AI39" s="87">
        <v>1465433982</v>
      </c>
      <c r="AJ39" s="88">
        <v>807411544</v>
      </c>
      <c r="AK39" s="18">
        <v>0.81497774324613825</v>
      </c>
      <c r="AL39" s="89"/>
    </row>
    <row r="40" spans="1:38" ht="15" thickBot="1" x14ac:dyDescent="0.35">
      <c r="A40" s="27" t="s">
        <v>112</v>
      </c>
      <c r="B40" s="27"/>
      <c r="C40" s="28">
        <v>117581869</v>
      </c>
      <c r="D40" s="28">
        <v>433135184</v>
      </c>
      <c r="E40" s="28">
        <v>834104146</v>
      </c>
      <c r="F40" s="28">
        <v>521428437</v>
      </c>
      <c r="G40" s="28">
        <v>243862112</v>
      </c>
      <c r="H40" s="28">
        <v>466767871</v>
      </c>
      <c r="I40" s="28">
        <v>393346039</v>
      </c>
      <c r="J40" s="28">
        <v>273257230</v>
      </c>
      <c r="K40" s="28">
        <v>438376369</v>
      </c>
      <c r="L40" s="28">
        <v>360112434</v>
      </c>
      <c r="M40" s="28">
        <v>709821306</v>
      </c>
      <c r="N40" s="28">
        <v>549420250</v>
      </c>
      <c r="O40" s="28">
        <v>419305620</v>
      </c>
      <c r="P40" s="28">
        <v>350109836</v>
      </c>
      <c r="Q40" s="28">
        <v>417387099</v>
      </c>
      <c r="R40" s="28">
        <v>376440084</v>
      </c>
      <c r="S40" s="28">
        <v>541294553</v>
      </c>
      <c r="T40" s="29">
        <v>7445750439</v>
      </c>
      <c r="U40" s="28">
        <v>381193079</v>
      </c>
      <c r="V40" s="28">
        <v>685546737</v>
      </c>
      <c r="W40" s="28">
        <v>730151871</v>
      </c>
      <c r="X40" s="29">
        <v>1796891687</v>
      </c>
      <c r="Y40" s="29">
        <v>9242642126</v>
      </c>
      <c r="Z40" s="28">
        <v>116383593</v>
      </c>
      <c r="AA40" s="28">
        <v>133781341</v>
      </c>
      <c r="AB40" s="28">
        <v>108027788</v>
      </c>
      <c r="AC40" s="28">
        <v>204048506</v>
      </c>
      <c r="AD40" s="28">
        <v>76776136</v>
      </c>
      <c r="AE40" s="28">
        <v>183025977</v>
      </c>
      <c r="AF40" s="28">
        <v>83470989</v>
      </c>
      <c r="AG40" s="29">
        <v>905514330</v>
      </c>
      <c r="AH40" s="29">
        <v>63310374</v>
      </c>
      <c r="AI40" s="90">
        <v>10211466830</v>
      </c>
      <c r="AJ40" s="91">
        <v>7040414296.1481485</v>
      </c>
      <c r="AK40" s="32">
        <v>0.4504070926034498</v>
      </c>
    </row>
    <row r="41" spans="1:38" ht="15.6" thickTop="1" thickBot="1" x14ac:dyDescent="0.35">
      <c r="A41" s="19" t="s">
        <v>113</v>
      </c>
      <c r="B41" s="33"/>
      <c r="C41" s="34">
        <v>117000000</v>
      </c>
      <c r="D41" s="34">
        <v>430000000</v>
      </c>
      <c r="E41" s="34">
        <v>825000000</v>
      </c>
      <c r="F41" s="34">
        <v>505000000</v>
      </c>
      <c r="G41" s="34">
        <v>242000000</v>
      </c>
      <c r="H41" s="34">
        <v>475000000</v>
      </c>
      <c r="I41" s="34">
        <v>395000000</v>
      </c>
      <c r="J41" s="34">
        <v>268000000</v>
      </c>
      <c r="K41" s="34">
        <v>430000000</v>
      </c>
      <c r="L41" s="34">
        <v>362000000</v>
      </c>
      <c r="M41" s="34">
        <v>710000000</v>
      </c>
      <c r="N41" s="34">
        <v>555000000</v>
      </c>
      <c r="O41" s="34">
        <v>412000000</v>
      </c>
      <c r="P41" s="34">
        <v>315000000</v>
      </c>
      <c r="Q41" s="34">
        <v>405000000</v>
      </c>
      <c r="R41" s="34">
        <v>360000000</v>
      </c>
      <c r="S41" s="34">
        <v>540000000</v>
      </c>
      <c r="T41" s="35">
        <v>7346000000</v>
      </c>
      <c r="U41" s="34">
        <v>360000000</v>
      </c>
      <c r="V41" s="34">
        <v>640000000</v>
      </c>
      <c r="W41" s="34">
        <v>728000000</v>
      </c>
      <c r="X41" s="35">
        <v>1728000000</v>
      </c>
      <c r="Y41" s="35">
        <v>9074000000</v>
      </c>
      <c r="Z41" s="34">
        <v>118000000</v>
      </c>
      <c r="AA41" s="34">
        <v>131000000</v>
      </c>
      <c r="AB41" s="34">
        <v>110000000</v>
      </c>
      <c r="AC41" s="34">
        <v>198000000</v>
      </c>
      <c r="AD41" s="34">
        <v>74000000</v>
      </c>
      <c r="AE41" s="34">
        <v>178000000</v>
      </c>
      <c r="AF41" s="34">
        <v>85000000</v>
      </c>
      <c r="AG41" s="35">
        <v>894000000</v>
      </c>
      <c r="AH41" s="35">
        <v>0</v>
      </c>
      <c r="AI41" s="92">
        <v>9968000000</v>
      </c>
      <c r="AJ41" s="93">
        <v>6570206500</v>
      </c>
      <c r="AK41" s="32">
        <v>0.51715170596236204</v>
      </c>
    </row>
    <row r="42" spans="1:38" ht="15" thickTop="1" x14ac:dyDescent="0.3">
      <c r="A42" s="19" t="s">
        <v>114</v>
      </c>
      <c r="B42" s="33"/>
      <c r="C42" s="94">
        <v>581869</v>
      </c>
      <c r="D42" s="94">
        <v>3135184</v>
      </c>
      <c r="E42" s="94">
        <v>9104146</v>
      </c>
      <c r="F42" s="94">
        <v>16428437</v>
      </c>
      <c r="G42" s="94">
        <v>1862112</v>
      </c>
      <c r="H42" s="94">
        <v>-8232129</v>
      </c>
      <c r="I42" s="94">
        <v>-1653961</v>
      </c>
      <c r="J42" s="94">
        <v>5257230</v>
      </c>
      <c r="K42" s="94">
        <v>8376369</v>
      </c>
      <c r="L42" s="94">
        <v>-1887566</v>
      </c>
      <c r="M42" s="94">
        <v>-178694</v>
      </c>
      <c r="N42" s="94">
        <v>-5579750</v>
      </c>
      <c r="O42" s="94">
        <v>7305620</v>
      </c>
      <c r="P42" s="94">
        <v>35109836</v>
      </c>
      <c r="Q42" s="94">
        <v>12387099</v>
      </c>
      <c r="R42" s="94">
        <v>16440084</v>
      </c>
      <c r="S42" s="94">
        <v>1294553</v>
      </c>
      <c r="T42" s="95">
        <v>99750439</v>
      </c>
      <c r="U42" s="94">
        <v>21193079</v>
      </c>
      <c r="V42" s="94">
        <v>45546737</v>
      </c>
      <c r="W42" s="94">
        <v>2151871</v>
      </c>
      <c r="X42" s="95">
        <v>68891687</v>
      </c>
      <c r="Y42" s="95">
        <v>168642126</v>
      </c>
      <c r="Z42" s="94">
        <v>-1616407</v>
      </c>
      <c r="AA42" s="94">
        <v>2781341</v>
      </c>
      <c r="AB42" s="94">
        <v>-1972212</v>
      </c>
      <c r="AC42" s="94">
        <v>6048506</v>
      </c>
      <c r="AD42" s="94">
        <v>2776136</v>
      </c>
      <c r="AE42" s="94">
        <v>5025977</v>
      </c>
      <c r="AF42" s="94">
        <v>-1529011</v>
      </c>
      <c r="AG42" s="95">
        <v>11514330</v>
      </c>
      <c r="AH42" s="95">
        <v>63310374</v>
      </c>
      <c r="AI42" s="96">
        <v>243466830</v>
      </c>
      <c r="AJ42" s="95">
        <v>470207796.14814854</v>
      </c>
      <c r="AK42" s="97">
        <v>0</v>
      </c>
    </row>
    <row r="43" spans="1:38" x14ac:dyDescent="0.3">
      <c r="A43" s="19" t="s">
        <v>115</v>
      </c>
      <c r="B43" s="43"/>
      <c r="C43" s="44">
        <v>1.0049732393162394</v>
      </c>
      <c r="D43" s="44">
        <v>1.0072911255813954</v>
      </c>
      <c r="E43" s="44">
        <v>1.0110353284848486</v>
      </c>
      <c r="F43" s="44">
        <v>1.0325315584158417</v>
      </c>
      <c r="G43" s="44">
        <v>1.0076946776859503</v>
      </c>
      <c r="H43" s="44">
        <v>0.98266920210526321</v>
      </c>
      <c r="I43" s="44">
        <v>0.99581275696202531</v>
      </c>
      <c r="J43" s="44">
        <v>1.0196165298507462</v>
      </c>
      <c r="K43" s="44">
        <v>1.0194799279069768</v>
      </c>
      <c r="L43" s="44">
        <v>0.99478572928176801</v>
      </c>
      <c r="M43" s="44">
        <v>0.99974831830985911</v>
      </c>
      <c r="N43" s="44">
        <v>0.98994639639639637</v>
      </c>
      <c r="O43" s="44">
        <v>1.0177320873786408</v>
      </c>
      <c r="P43" s="44">
        <v>1.1114597968253968</v>
      </c>
      <c r="Q43" s="44">
        <v>1.0305854296296297</v>
      </c>
      <c r="R43" s="44">
        <v>1.0456669000000001</v>
      </c>
      <c r="S43" s="44">
        <v>1.0023973203703704</v>
      </c>
      <c r="T43" s="45">
        <v>1.0135788781649877</v>
      </c>
      <c r="U43" s="44">
        <v>1.0588696638888888</v>
      </c>
      <c r="V43" s="44">
        <v>1.0711667765624999</v>
      </c>
      <c r="W43" s="44">
        <v>1.0029558667582417</v>
      </c>
      <c r="X43" s="45">
        <v>1.0398678744212964</v>
      </c>
      <c r="Y43" s="45">
        <v>1.0185852023363455</v>
      </c>
      <c r="Z43" s="44">
        <v>0.98630163559322037</v>
      </c>
      <c r="AA43" s="44">
        <v>1.021231610687023</v>
      </c>
      <c r="AB43" s="44">
        <v>0.98207080000000002</v>
      </c>
      <c r="AC43" s="44">
        <v>1.03054801010101</v>
      </c>
      <c r="AD43" s="44">
        <v>1.0375153513513513</v>
      </c>
      <c r="AE43" s="44">
        <v>1.0282358258426967</v>
      </c>
      <c r="AF43" s="44">
        <v>0.98201163529411761</v>
      </c>
      <c r="AG43" s="45">
        <v>1.0128795637583892</v>
      </c>
      <c r="AH43" s="45">
        <v>0</v>
      </c>
      <c r="AI43" s="46">
        <v>1.0244248424959872</v>
      </c>
      <c r="AJ43" s="45">
        <v>1.0715666693502173</v>
      </c>
      <c r="AK43" s="45">
        <v>0</v>
      </c>
    </row>
    <row r="44" spans="1:38" s="103" customFormat="1" ht="15" thickBot="1" x14ac:dyDescent="0.35">
      <c r="A44" s="98" t="s">
        <v>116</v>
      </c>
      <c r="B44" s="99"/>
      <c r="C44" s="100">
        <v>117581869</v>
      </c>
      <c r="D44" s="100">
        <v>433135184</v>
      </c>
      <c r="E44" s="100">
        <v>834104146</v>
      </c>
      <c r="F44" s="100">
        <v>521428436.99999994</v>
      </c>
      <c r="G44" s="100">
        <v>243862112</v>
      </c>
      <c r="H44" s="100">
        <v>466767871</v>
      </c>
      <c r="I44" s="100">
        <v>393346039</v>
      </c>
      <c r="J44" s="100">
        <v>273257230</v>
      </c>
      <c r="K44" s="100">
        <v>438376369</v>
      </c>
      <c r="L44" s="100">
        <v>360112434</v>
      </c>
      <c r="M44" s="100">
        <v>709821306</v>
      </c>
      <c r="N44" s="100">
        <v>549420250</v>
      </c>
      <c r="O44" s="100">
        <v>419305620</v>
      </c>
      <c r="P44" s="100">
        <v>350109836</v>
      </c>
      <c r="Q44" s="100">
        <v>417387099</v>
      </c>
      <c r="R44" s="100">
        <v>376440084</v>
      </c>
      <c r="S44" s="100">
        <v>541294553</v>
      </c>
      <c r="T44" s="93">
        <v>7445750439</v>
      </c>
      <c r="U44" s="100">
        <v>381193079</v>
      </c>
      <c r="V44" s="100">
        <v>685546737</v>
      </c>
      <c r="W44" s="100">
        <v>730151871</v>
      </c>
      <c r="X44" s="93">
        <v>1796891687</v>
      </c>
      <c r="Y44" s="93">
        <v>9242642126</v>
      </c>
      <c r="Z44" s="100">
        <v>116383593</v>
      </c>
      <c r="AA44" s="100">
        <v>133781341</v>
      </c>
      <c r="AB44" s="100">
        <v>108027788</v>
      </c>
      <c r="AC44" s="100">
        <v>204048506</v>
      </c>
      <c r="AD44" s="100">
        <v>76776136</v>
      </c>
      <c r="AE44" s="100">
        <v>183025977</v>
      </c>
      <c r="AF44" s="100">
        <v>83470989</v>
      </c>
      <c r="AG44" s="93">
        <v>905514330</v>
      </c>
      <c r="AH44" s="101">
        <v>63310374</v>
      </c>
      <c r="AI44" s="102">
        <v>10211466830</v>
      </c>
      <c r="AJ44" s="101">
        <v>7040414296.1481485</v>
      </c>
      <c r="AK44" s="52">
        <v>0.4504070926034498</v>
      </c>
    </row>
    <row r="45" spans="1:38" ht="15" thickTop="1" x14ac:dyDescent="0.3">
      <c r="A45" s="19" t="s">
        <v>117</v>
      </c>
      <c r="B45" s="43"/>
      <c r="C45" s="44">
        <v>1.0049732393162394</v>
      </c>
      <c r="D45" s="44">
        <v>1.0072911255813954</v>
      </c>
      <c r="E45" s="44">
        <v>1.0110353284848486</v>
      </c>
      <c r="F45" s="44">
        <v>1.0325315584158414</v>
      </c>
      <c r="G45" s="44">
        <v>1.0076946776859503</v>
      </c>
      <c r="H45" s="44">
        <v>0.98266920210526321</v>
      </c>
      <c r="I45" s="44">
        <v>0.99581275696202531</v>
      </c>
      <c r="J45" s="44">
        <v>1.0196165298507462</v>
      </c>
      <c r="K45" s="44">
        <v>1.0194799279069768</v>
      </c>
      <c r="L45" s="44">
        <v>0.99478572928176801</v>
      </c>
      <c r="M45" s="44">
        <v>0.99974831830985911</v>
      </c>
      <c r="N45" s="44">
        <v>0.98994639639639637</v>
      </c>
      <c r="O45" s="44">
        <v>1.0177320873786408</v>
      </c>
      <c r="P45" s="44">
        <v>1.1114597968253968</v>
      </c>
      <c r="Q45" s="44">
        <v>1.0305854296296297</v>
      </c>
      <c r="R45" s="44">
        <v>1.0456669000000001</v>
      </c>
      <c r="S45" s="44">
        <v>1.0023973203703704</v>
      </c>
      <c r="T45" s="45">
        <v>1.0135788781649877</v>
      </c>
      <c r="U45" s="44">
        <v>1.0588696638888888</v>
      </c>
      <c r="V45" s="44">
        <v>1.0711667765624999</v>
      </c>
      <c r="W45" s="44">
        <v>1.0029558667582417</v>
      </c>
      <c r="X45" s="45">
        <v>1.0398678744212964</v>
      </c>
      <c r="Y45" s="45">
        <v>1.0185852023363455</v>
      </c>
      <c r="Z45" s="44">
        <v>0.98630163559322037</v>
      </c>
      <c r="AA45" s="44">
        <v>1.021231610687023</v>
      </c>
      <c r="AB45" s="44">
        <v>0.98207080000000002</v>
      </c>
      <c r="AC45" s="44">
        <v>1.03054801010101</v>
      </c>
      <c r="AD45" s="44">
        <v>1.0375153513513513</v>
      </c>
      <c r="AE45" s="44">
        <v>1.0282358258426967</v>
      </c>
      <c r="AF45" s="44">
        <v>0.98201163529411761</v>
      </c>
      <c r="AG45" s="45">
        <v>1.0128795637583892</v>
      </c>
      <c r="AH45" s="45">
        <v>0</v>
      </c>
      <c r="AI45" s="54">
        <v>1.0244248424959872</v>
      </c>
      <c r="AJ45" s="45">
        <v>1.0715666693502173</v>
      </c>
      <c r="AK45" s="45">
        <v>-4.3993368030769586E-2</v>
      </c>
      <c r="AL45" s="55"/>
    </row>
    <row r="46" spans="1:38" ht="16.2" thickBot="1" x14ac:dyDescent="0.35">
      <c r="A46" s="19" t="s">
        <v>162</v>
      </c>
      <c r="C46" s="56">
        <v>87515226</v>
      </c>
      <c r="D46" s="56">
        <v>95335976</v>
      </c>
      <c r="E46" s="56">
        <v>766664296</v>
      </c>
      <c r="F46" s="56">
        <v>430541461</v>
      </c>
      <c r="G46" s="56">
        <v>229867741</v>
      </c>
      <c r="H46" s="56">
        <v>427964174</v>
      </c>
      <c r="I46" s="56">
        <v>315083498</v>
      </c>
      <c r="J46" s="56">
        <v>243229730</v>
      </c>
      <c r="K46" s="56">
        <v>393853046</v>
      </c>
      <c r="L46" s="56">
        <v>282023514</v>
      </c>
      <c r="M46" s="56">
        <v>655375733</v>
      </c>
      <c r="N46" s="56">
        <v>505073862</v>
      </c>
      <c r="O46" s="56">
        <v>330209819</v>
      </c>
      <c r="P46" s="56">
        <v>280805275</v>
      </c>
      <c r="Q46" s="56">
        <v>333895408</v>
      </c>
      <c r="R46" s="56">
        <v>0</v>
      </c>
      <c r="S46" s="56">
        <v>0</v>
      </c>
      <c r="T46" s="57">
        <v>5377438759</v>
      </c>
      <c r="U46" s="56">
        <v>336031756</v>
      </c>
      <c r="V46" s="56">
        <v>583158580</v>
      </c>
      <c r="W46" s="56">
        <v>0</v>
      </c>
      <c r="X46" s="57">
        <v>919190336</v>
      </c>
      <c r="Y46" s="57">
        <v>6296629095</v>
      </c>
      <c r="Z46" s="56">
        <v>100909990</v>
      </c>
      <c r="AA46" s="56">
        <v>108209227</v>
      </c>
      <c r="AB46" s="56">
        <v>98463286</v>
      </c>
      <c r="AC46" s="56">
        <v>192313437</v>
      </c>
      <c r="AD46" s="56">
        <v>82940782</v>
      </c>
      <c r="AE46" s="56">
        <v>146992135</v>
      </c>
      <c r="AF46" s="56">
        <v>0</v>
      </c>
      <c r="AG46" s="58">
        <v>729828857</v>
      </c>
      <c r="AH46" s="58">
        <v>83296096</v>
      </c>
      <c r="AI46" s="59">
        <v>7109754048</v>
      </c>
      <c r="AJ46" s="58">
        <v>5689511285</v>
      </c>
      <c r="AK46" s="60">
        <v>0</v>
      </c>
      <c r="AL46" s="61"/>
    </row>
    <row r="47" spans="1:38" ht="15" thickTop="1" x14ac:dyDescent="0.3">
      <c r="A47" s="19" t="s">
        <v>163</v>
      </c>
      <c r="C47" s="44">
        <v>0.34355899395152112</v>
      </c>
      <c r="D47" s="44">
        <v>3.5432501157800074</v>
      </c>
      <c r="E47" s="44">
        <v>8.7965293743117012E-2</v>
      </c>
      <c r="F47" s="44">
        <v>0.21109924184514228</v>
      </c>
      <c r="G47" s="44">
        <v>6.0880099743965355E-2</v>
      </c>
      <c r="H47" s="44">
        <v>9.0670433081625257E-2</v>
      </c>
      <c r="I47" s="44">
        <v>0.24838667050725705</v>
      </c>
      <c r="J47" s="44">
        <v>0.12345324726545548</v>
      </c>
      <c r="K47" s="44">
        <v>0.11304552155221881</v>
      </c>
      <c r="L47" s="44">
        <v>0.27688797608556848</v>
      </c>
      <c r="M47" s="44">
        <v>8.3075357018139728E-2</v>
      </c>
      <c r="N47" s="44">
        <v>8.780178769179714E-2</v>
      </c>
      <c r="O47" s="44">
        <v>0.26981572283288169</v>
      </c>
      <c r="P47" s="44">
        <v>0.24680647826149271</v>
      </c>
      <c r="Q47" s="44">
        <v>0.25005342691026167</v>
      </c>
      <c r="R47" s="44">
        <v>0</v>
      </c>
      <c r="S47" s="44">
        <v>0</v>
      </c>
      <c r="T47" s="45">
        <v>0.3846276587601023</v>
      </c>
      <c r="U47" s="44">
        <v>0.13439599738305685</v>
      </c>
      <c r="V47" s="44">
        <v>0.17557515315988326</v>
      </c>
      <c r="W47" s="44">
        <v>0</v>
      </c>
      <c r="X47" s="45">
        <v>0.95486355396147249</v>
      </c>
      <c r="Y47" s="45">
        <v>0.46787145733887314</v>
      </c>
      <c r="Z47" s="44">
        <v>0.15334064546037518</v>
      </c>
      <c r="AA47" s="44">
        <v>0.2363210117007859</v>
      </c>
      <c r="AB47" s="44">
        <v>9.7137749394226036E-2</v>
      </c>
      <c r="AC47" s="44">
        <v>6.1020535970141232E-2</v>
      </c>
      <c r="AD47" s="44">
        <v>-7.4325872644894986E-2</v>
      </c>
      <c r="AE47" s="44">
        <v>0.24514129276372509</v>
      </c>
      <c r="AF47" s="44">
        <v>0</v>
      </c>
      <c r="AG47" s="45">
        <v>0.2407214668410953</v>
      </c>
      <c r="AH47" s="45">
        <v>-0.23993587886760026</v>
      </c>
      <c r="AI47" s="46">
        <v>0.43626161482653858</v>
      </c>
      <c r="AJ47" s="45">
        <v>0.23743744295045355</v>
      </c>
      <c r="AK47" s="45">
        <v>0.83737497087843038</v>
      </c>
    </row>
    <row r="48" spans="1:38" s="63" customFormat="1" x14ac:dyDescent="0.3">
      <c r="A48" s="104" t="s">
        <v>120</v>
      </c>
      <c r="C48" s="105">
        <v>0</v>
      </c>
      <c r="D48" s="106">
        <v>230</v>
      </c>
      <c r="E48" s="106">
        <v>205</v>
      </c>
      <c r="F48" s="106">
        <v>155</v>
      </c>
      <c r="G48" s="106">
        <v>288</v>
      </c>
      <c r="H48" s="106">
        <v>403</v>
      </c>
      <c r="I48" s="106">
        <v>234</v>
      </c>
      <c r="J48" s="107">
        <v>0</v>
      </c>
      <c r="K48" s="107">
        <v>0</v>
      </c>
      <c r="L48" s="106">
        <v>218</v>
      </c>
      <c r="M48" s="106">
        <v>205</v>
      </c>
      <c r="N48" s="106">
        <v>521</v>
      </c>
      <c r="O48" s="106">
        <v>184</v>
      </c>
      <c r="P48" s="106">
        <v>186</v>
      </c>
      <c r="Q48" s="106">
        <v>342</v>
      </c>
      <c r="R48" s="107">
        <v>0</v>
      </c>
      <c r="S48" s="107">
        <v>0</v>
      </c>
      <c r="T48" s="108"/>
      <c r="U48" s="107">
        <v>187</v>
      </c>
      <c r="V48" s="107">
        <v>0</v>
      </c>
      <c r="W48" s="107">
        <v>0</v>
      </c>
      <c r="X48" s="108"/>
      <c r="Y48" s="108"/>
      <c r="Z48" s="106">
        <v>0</v>
      </c>
      <c r="AA48" s="106">
        <v>0</v>
      </c>
      <c r="AB48" s="106">
        <v>94</v>
      </c>
      <c r="AC48" s="106">
        <v>130</v>
      </c>
      <c r="AD48" s="106">
        <v>60</v>
      </c>
      <c r="AE48" s="106">
        <v>102</v>
      </c>
      <c r="AF48" s="107">
        <v>0</v>
      </c>
      <c r="AG48" s="108"/>
      <c r="AH48" s="108"/>
      <c r="AI48" s="109"/>
      <c r="AJ48" s="108"/>
      <c r="AK48" s="110"/>
    </row>
    <row r="49" spans="1:38" s="112" customFormat="1" ht="15" thickBot="1" x14ac:dyDescent="0.35">
      <c r="A49" s="104" t="s">
        <v>121</v>
      </c>
      <c r="B49" s="111"/>
      <c r="C49" s="100">
        <v>0</v>
      </c>
      <c r="D49" s="100">
        <v>1883196.4521739131</v>
      </c>
      <c r="E49" s="100">
        <v>4068800.7121951221</v>
      </c>
      <c r="F49" s="100">
        <v>3364054.4322580644</v>
      </c>
      <c r="G49" s="100">
        <v>846743.4444444445</v>
      </c>
      <c r="H49" s="100">
        <v>1158232.9305210919</v>
      </c>
      <c r="I49" s="100">
        <v>1680965.9786324787</v>
      </c>
      <c r="J49" s="100">
        <v>0</v>
      </c>
      <c r="K49" s="100">
        <v>0</v>
      </c>
      <c r="L49" s="100">
        <v>1651891.8990825687</v>
      </c>
      <c r="M49" s="100">
        <v>3462542.9560975609</v>
      </c>
      <c r="N49" s="100">
        <v>1054549.4241842611</v>
      </c>
      <c r="O49" s="100">
        <v>2278834.8913043477</v>
      </c>
      <c r="P49" s="100">
        <v>1882310.9462365592</v>
      </c>
      <c r="Q49" s="100">
        <v>1220430.1140350876</v>
      </c>
      <c r="R49" s="100">
        <v>0</v>
      </c>
      <c r="S49" s="100">
        <v>0</v>
      </c>
      <c r="T49" s="93">
        <v>24552554.181165501</v>
      </c>
      <c r="U49" s="100">
        <v>2038465.6631016042</v>
      </c>
      <c r="V49" s="100">
        <v>0</v>
      </c>
      <c r="W49" s="100">
        <v>0</v>
      </c>
      <c r="X49" s="93">
        <v>2038465.6631016042</v>
      </c>
      <c r="Y49" s="93">
        <v>26591019.844267108</v>
      </c>
      <c r="Z49" s="100">
        <v>0</v>
      </c>
      <c r="AA49" s="100">
        <v>0</v>
      </c>
      <c r="AB49" s="100">
        <v>1149231.7872340425</v>
      </c>
      <c r="AC49" s="100">
        <v>1569603.8923076922</v>
      </c>
      <c r="AD49" s="100">
        <v>1279602.2666666666</v>
      </c>
      <c r="AE49" s="100">
        <v>1794372.3235294118</v>
      </c>
      <c r="AF49" s="100">
        <v>0</v>
      </c>
      <c r="AG49" s="93">
        <v>5792810.2697378136</v>
      </c>
      <c r="AH49" s="93">
        <v>0</v>
      </c>
      <c r="AI49" s="92">
        <v>32383830.114004921</v>
      </c>
      <c r="AJ49" s="93">
        <v>26804325.121685162</v>
      </c>
      <c r="AK49" s="70">
        <v>0.20815689135951576</v>
      </c>
    </row>
    <row r="50" spans="1:38" ht="15.6" thickTop="1" thickBot="1" x14ac:dyDescent="0.35">
      <c r="A50" s="19" t="s">
        <v>126</v>
      </c>
      <c r="C50" s="73">
        <v>1.1514689413136938E-2</v>
      </c>
      <c r="D50" s="73">
        <v>4.2416549082596393E-2</v>
      </c>
      <c r="E50" s="73">
        <v>8.1683088226806685E-2</v>
      </c>
      <c r="F50" s="73">
        <v>5.1063029991745071E-2</v>
      </c>
      <c r="G50" s="73">
        <v>2.3881202971111251E-2</v>
      </c>
      <c r="H50" s="73">
        <v>4.5710168653605665E-2</v>
      </c>
      <c r="I50" s="73">
        <v>3.8520032973558611E-2</v>
      </c>
      <c r="J50" s="73">
        <v>2.6759841122648977E-2</v>
      </c>
      <c r="K50" s="73">
        <v>4.2929813737641057E-2</v>
      </c>
      <c r="L50" s="73">
        <v>3.5265495153158126E-2</v>
      </c>
      <c r="M50" s="73">
        <v>6.951217859462018E-2</v>
      </c>
      <c r="N50" s="73">
        <v>5.3804243714122707E-2</v>
      </c>
      <c r="O50" s="73">
        <v>4.1062231996693468E-2</v>
      </c>
      <c r="P50" s="73">
        <v>3.4285949494681951E-2</v>
      </c>
      <c r="Q50" s="73">
        <v>4.0874352916054076E-2</v>
      </c>
      <c r="R50" s="73">
        <v>3.6864447612371079E-2</v>
      </c>
      <c r="S50" s="73">
        <v>5.3008501326150807E-2</v>
      </c>
      <c r="T50" s="74">
        <v>0.72915581698070309</v>
      </c>
      <c r="U50" s="73">
        <v>3.7329904248437927E-2</v>
      </c>
      <c r="V50" s="73">
        <v>6.7134991320340995E-2</v>
      </c>
      <c r="W50" s="73">
        <v>7.150313301267415E-2</v>
      </c>
      <c r="X50" s="74">
        <v>0.17596802858145308</v>
      </c>
      <c r="Y50" s="74">
        <v>0.90512384556215608</v>
      </c>
      <c r="Z50" s="73">
        <v>1.1397343294312988E-2</v>
      </c>
      <c r="AA50" s="73">
        <v>1.3101089513111605E-2</v>
      </c>
      <c r="AB50" s="73">
        <v>1.0579066631507631E-2</v>
      </c>
      <c r="AC50" s="73">
        <v>1.9982291417774699E-2</v>
      </c>
      <c r="AD50" s="73">
        <v>7.5186197319313036E-3</v>
      </c>
      <c r="AE50" s="73">
        <v>1.7923573571457217E-2</v>
      </c>
      <c r="AF50" s="73">
        <v>8.1742408206010881E-3</v>
      </c>
      <c r="AG50" s="74">
        <v>8.8676224980696536E-2</v>
      </c>
      <c r="AH50" s="75">
        <v>6.1999294571473433E-3</v>
      </c>
      <c r="AI50" s="76">
        <v>1</v>
      </c>
      <c r="AJ50" s="75">
        <v>1</v>
      </c>
      <c r="AK50" s="74"/>
    </row>
    <row r="51" spans="1:38" ht="15" thickTop="1" x14ac:dyDescent="0.3"/>
    <row r="52" spans="1:38" x14ac:dyDescent="0.3"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</row>
    <row r="53" spans="1:38" x14ac:dyDescent="0.3"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78"/>
      <c r="U53" s="113"/>
      <c r="V53" s="113"/>
      <c r="W53" s="113"/>
      <c r="X53" s="78"/>
      <c r="Y53" s="78"/>
      <c r="Z53" s="113"/>
      <c r="AA53" s="113"/>
      <c r="AB53" s="113"/>
      <c r="AC53" s="113"/>
      <c r="AD53" s="113"/>
      <c r="AE53" s="113"/>
      <c r="AF53" s="113"/>
      <c r="AG53" s="78"/>
      <c r="AH53" s="113"/>
      <c r="AI53" s="78"/>
      <c r="AJ53" s="26"/>
    </row>
    <row r="54" spans="1:38" x14ac:dyDescent="0.3"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</row>
    <row r="55" spans="1:38" x14ac:dyDescent="0.3"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L55" s="15"/>
    </row>
    <row r="56" spans="1:38" x14ac:dyDescent="0.3">
      <c r="A56" s="114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  <c r="AE56" s="114"/>
      <c r="AF56" s="114"/>
      <c r="AG56" s="114"/>
      <c r="AH56" s="114"/>
      <c r="AI56" s="114"/>
    </row>
    <row r="57" spans="1:38" x14ac:dyDescent="0.3"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</row>
    <row r="58" spans="1:38" x14ac:dyDescent="0.3"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</row>
    <row r="59" spans="1:38" x14ac:dyDescent="0.3">
      <c r="Q59" s="115"/>
    </row>
  </sheetData>
  <conditionalFormatting sqref="C47:N47 C50:N50 X50:AD50 X47:AD47">
    <cfRule type="iconSet" priority="28">
      <iconSet>
        <cfvo type="percent" val="0"/>
        <cfvo type="num" val="0.05"/>
        <cfvo type="num" val="7.0000000000000007E-2"/>
      </iconSet>
    </cfRule>
  </conditionalFormatting>
  <conditionalFormatting sqref="C43:O43 Q43:AD43">
    <cfRule type="iconSet" priority="33">
      <iconSet>
        <cfvo type="percent" val="0"/>
        <cfvo type="num" val="0.8"/>
        <cfvo type="num" val="0.99999899999999997"/>
      </iconSet>
    </cfRule>
  </conditionalFormatting>
  <conditionalFormatting sqref="D45:E45">
    <cfRule type="iconSet" priority="23">
      <iconSet>
        <cfvo type="percent" val="0"/>
        <cfvo type="num" val="0.8"/>
        <cfvo type="num" val="0.99990000000000001" gte="0"/>
      </iconSet>
    </cfRule>
  </conditionalFormatting>
  <conditionalFormatting sqref="N45:Q45 U45">
    <cfRule type="iconSet" priority="31">
      <iconSet>
        <cfvo type="percent" val="0"/>
        <cfvo type="num" val="0.8"/>
        <cfvo type="num" val="0.99990000000000001" gte="0"/>
      </iconSet>
    </cfRule>
  </conditionalFormatting>
  <conditionalFormatting sqref="O50:Q50 O47:Q47 U47 U50">
    <cfRule type="iconSet" priority="32">
      <iconSet>
        <cfvo type="percent" val="0"/>
        <cfvo type="num" val="0.05"/>
        <cfvo type="num" val="7.0000000000000007E-2"/>
      </iconSet>
    </cfRule>
  </conditionalFormatting>
  <conditionalFormatting sqref="P43">
    <cfRule type="iconSet" priority="26">
      <iconSet>
        <cfvo type="percent" val="0"/>
        <cfvo type="num" val="0.8"/>
        <cfvo type="num" val="0.99"/>
      </iconSet>
    </cfRule>
  </conditionalFormatting>
  <conditionalFormatting sqref="T45">
    <cfRule type="iconSet" priority="2">
      <iconSet>
        <cfvo type="percent" val="0"/>
        <cfvo type="num" val="0.8"/>
        <cfvo type="num" val="0.99999000000000005" gte="0"/>
      </iconSet>
    </cfRule>
  </conditionalFormatting>
  <conditionalFormatting sqref="T50 T47">
    <cfRule type="iconSet" priority="3">
      <iconSet>
        <cfvo type="percent" val="0"/>
        <cfvo type="num" val="0.05"/>
        <cfvo type="num" val="7.0000000000000007E-2"/>
      </iconSet>
    </cfRule>
  </conditionalFormatting>
  <conditionalFormatting sqref="V47:W47 R47:S47">
    <cfRule type="iconSet" priority="4">
      <iconSet>
        <cfvo type="percent" val="0"/>
        <cfvo type="num" val="0.05"/>
        <cfvo type="num" val="7.0000000000000007E-2"/>
      </iconSet>
    </cfRule>
  </conditionalFormatting>
  <conditionalFormatting sqref="V50:W50 R50:S50">
    <cfRule type="iconSet" priority="7">
      <iconSet>
        <cfvo type="percent" val="0"/>
        <cfvo type="num" val="0.05"/>
        <cfvo type="num" val="7.0000000000000007E-2"/>
      </iconSet>
    </cfRule>
  </conditionalFormatting>
  <conditionalFormatting sqref="X45:Y45">
    <cfRule type="iconSet" priority="21">
      <iconSet>
        <cfvo type="percent" val="0"/>
        <cfvo type="num" val="0.8"/>
        <cfvo type="num" val="0.99999000000000005" gte="0"/>
      </iconSet>
    </cfRule>
  </conditionalFormatting>
  <conditionalFormatting sqref="Z45:AC45 U45:W45 C45:S45">
    <cfRule type="iconSet" priority="27">
      <iconSet>
        <cfvo type="percent" val="0"/>
        <cfvo type="num" val="0.8"/>
        <cfvo type="num" val="0.99999998999999995" gte="0"/>
      </iconSet>
    </cfRule>
  </conditionalFormatting>
  <conditionalFormatting sqref="AD45:AF45">
    <cfRule type="iconSet" priority="24">
      <iconSet>
        <cfvo type="percent" val="0"/>
        <cfvo type="num" val="0.8"/>
        <cfvo type="num" val="0.99999990000000005" gte="0"/>
      </iconSet>
    </cfRule>
  </conditionalFormatting>
  <conditionalFormatting sqref="AE43">
    <cfRule type="iconSet" priority="22">
      <iconSet>
        <cfvo type="percent" val="0"/>
        <cfvo type="num" val="0.8"/>
        <cfvo type="num" val="0.99999990000000005" gte="0"/>
      </iconSet>
    </cfRule>
  </conditionalFormatting>
  <conditionalFormatting sqref="AE50:AF50 AE47:AF47">
    <cfRule type="iconSet" priority="29">
      <iconSet>
        <cfvo type="percent" val="0"/>
        <cfvo type="num" val="0.05"/>
        <cfvo type="num" val="7.0000000000000007E-2"/>
      </iconSet>
    </cfRule>
  </conditionalFormatting>
  <conditionalFormatting sqref="AF43">
    <cfRule type="iconSet" priority="1">
      <iconSet>
        <cfvo type="percent" val="0"/>
        <cfvo type="num" val="0.8"/>
        <cfvo type="num" val="0.99999899999999997"/>
      </iconSet>
    </cfRule>
  </conditionalFormatting>
  <conditionalFormatting sqref="AG43">
    <cfRule type="iconSet" priority="6">
      <iconSet>
        <cfvo type="percent" val="0"/>
        <cfvo type="num" val="0.8"/>
        <cfvo type="num" val="0.99999899999999997"/>
      </iconSet>
    </cfRule>
  </conditionalFormatting>
  <conditionalFormatting sqref="AG45">
    <cfRule type="iconSet" priority="25">
      <iconSet>
        <cfvo type="percent" val="0"/>
        <cfvo type="num" val="0.8"/>
        <cfvo type="num" val="0.999" gte="0"/>
      </iconSet>
    </cfRule>
  </conditionalFormatting>
  <conditionalFormatting sqref="AG50 AG47">
    <cfRule type="iconSet" priority="30">
      <iconSet>
        <cfvo type="percent" val="0"/>
        <cfvo type="num" val="0.05"/>
        <cfvo type="num" val="7.0000000000000007E-2"/>
      </iconSet>
    </cfRule>
  </conditionalFormatting>
  <conditionalFormatting sqref="AH43">
    <cfRule type="iconSet" priority="18">
      <iconSet>
        <cfvo type="percent" val="0"/>
        <cfvo type="num" val="0.8"/>
        <cfvo type="num" val="0.99"/>
      </iconSet>
    </cfRule>
  </conditionalFormatting>
  <conditionalFormatting sqref="AH45">
    <cfRule type="iconSet" priority="17">
      <iconSet>
        <cfvo type="percent" val="0"/>
        <cfvo type="num" val="0.8"/>
        <cfvo type="num" val="0.99"/>
      </iconSet>
    </cfRule>
  </conditionalFormatting>
  <conditionalFormatting sqref="AH47">
    <cfRule type="iconSet" priority="19">
      <iconSet>
        <cfvo type="percent" val="0"/>
        <cfvo type="num" val="0.05"/>
        <cfvo type="num" val="7.0000000000000007E-2"/>
      </iconSet>
    </cfRule>
  </conditionalFormatting>
  <conditionalFormatting sqref="AH50">
    <cfRule type="iconSet" priority="16">
      <iconSet>
        <cfvo type="percent" val="0"/>
        <cfvo type="num" val="0.05"/>
        <cfvo type="num" val="7.0000000000000007E-2"/>
      </iconSet>
    </cfRule>
  </conditionalFormatting>
  <conditionalFormatting sqref="AI43">
    <cfRule type="iconSet" priority="13">
      <iconSet>
        <cfvo type="percent" val="0"/>
        <cfvo type="num" val="0.05"/>
        <cfvo type="num" val="7.0000000000000007E-2"/>
      </iconSet>
    </cfRule>
  </conditionalFormatting>
  <conditionalFormatting sqref="AI45">
    <cfRule type="iconSet" priority="14">
      <iconSet>
        <cfvo type="percent" val="0"/>
        <cfvo type="num" val="0.8"/>
        <cfvo type="num" val="0.99999000000000005"/>
      </iconSet>
    </cfRule>
  </conditionalFormatting>
  <conditionalFormatting sqref="AI47">
    <cfRule type="iconSet" priority="15">
      <iconSet>
        <cfvo type="percent" val="0"/>
        <cfvo type="num" val="0.05"/>
        <cfvo type="num" val="7.0000000000000007E-2"/>
      </iconSet>
    </cfRule>
  </conditionalFormatting>
  <conditionalFormatting sqref="AI50">
    <cfRule type="iconSet" priority="12">
      <iconSet>
        <cfvo type="percent" val="0"/>
        <cfvo type="num" val="0.8"/>
        <cfvo type="num" val="0.99"/>
      </iconSet>
    </cfRule>
  </conditionalFormatting>
  <conditionalFormatting sqref="AJ43">
    <cfRule type="iconSet" priority="10">
      <iconSet>
        <cfvo type="percent" val="0"/>
        <cfvo type="num" val="0.8"/>
        <cfvo type="num" val="0.99"/>
      </iconSet>
    </cfRule>
  </conditionalFormatting>
  <conditionalFormatting sqref="AJ45">
    <cfRule type="iconSet" priority="9">
      <iconSet>
        <cfvo type="percent" val="0"/>
        <cfvo type="num" val="0.8"/>
        <cfvo type="num" val="0.99"/>
      </iconSet>
    </cfRule>
  </conditionalFormatting>
  <conditionalFormatting sqref="AJ47">
    <cfRule type="iconSet" priority="11">
      <iconSet>
        <cfvo type="percent" val="0"/>
        <cfvo type="num" val="0.05"/>
        <cfvo type="num" val="7.0000000000000007E-2"/>
      </iconSet>
    </cfRule>
  </conditionalFormatting>
  <conditionalFormatting sqref="AJ50">
    <cfRule type="iconSet" priority="8">
      <iconSet>
        <cfvo type="percent" val="0"/>
        <cfvo type="num" val="0.05"/>
        <cfvo type="num" val="7.0000000000000007E-2"/>
      </iconSet>
    </cfRule>
  </conditionalFormatting>
  <conditionalFormatting sqref="AK45">
    <cfRule type="iconSet" priority="5">
      <iconSet>
        <cfvo type="percent" val="0"/>
        <cfvo type="num" val="0.05"/>
        <cfvo type="num" val="7.0000000000000007E-2"/>
      </iconSet>
    </cfRule>
  </conditionalFormatting>
  <conditionalFormatting sqref="AK47">
    <cfRule type="iconSet" priority="20">
      <iconSet>
        <cfvo type="percent" val="0"/>
        <cfvo type="num" val="0.05"/>
        <cfvo type="num" val="7.0000000000000007E-2"/>
      </iconSet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OCTUBRE 2026</vt:lpstr>
      <vt:lpstr>OCTUBRE 2025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 ESTRADA LOPEZ</dc:creator>
  <cp:lastModifiedBy>DANIELA  ESTRADA LOPEZ</cp:lastModifiedBy>
  <dcterms:created xsi:type="dcterms:W3CDTF">2026-10-26T13:12:22Z</dcterms:created>
  <dcterms:modified xsi:type="dcterms:W3CDTF">2026-10-26T13:16:35Z</dcterms:modified>
</cp:coreProperties>
</file>